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F7A06C240170CF/Documents/"/>
    </mc:Choice>
  </mc:AlternateContent>
  <xr:revisionPtr revIDLastSave="0" documentId="8_{BDAA1512-6A27-47A6-B82C-B506BBA5D0F0}" xr6:coauthVersionLast="47" xr6:coauthVersionMax="47" xr10:uidLastSave="{00000000-0000-0000-0000-000000000000}"/>
  <bookViews>
    <workbookView xWindow="-108" yWindow="-108" windowWidth="23256" windowHeight="12456" xr2:uid="{6DFAC0FF-7530-4F0C-98DD-9F6178F55D45}"/>
  </bookViews>
  <sheets>
    <sheet name="advanced_marketing_campaign_dat" sheetId="1" r:id="rId1"/>
    <sheet name="raw data" sheetId="2" r:id="rId2"/>
  </sheets>
  <definedNames>
    <definedName name="_xlnm._FilterDatabase" localSheetId="0" hidden="1">advanced_marketing_campaign_dat!$A$1:$X$1001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/>
  <c r="G22" i="1" a="1"/>
  <c r="G22" i="1" s="1"/>
  <c r="G23" i="1" a="1"/>
  <c r="G23" i="1" s="1"/>
  <c r="G24" i="1" a="1"/>
  <c r="G24" i="1"/>
  <c r="G25" i="1" a="1"/>
  <c r="G25" i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/>
  <c r="G32" i="1" a="1"/>
  <c r="G32" i="1"/>
  <c r="G33" i="1" a="1"/>
  <c r="G33" i="1" s="1"/>
  <c r="G34" i="1" a="1"/>
  <c r="G34" i="1" s="1"/>
  <c r="G35" i="1" a="1"/>
  <c r="G35" i="1" s="1"/>
  <c r="G36" i="1" a="1"/>
  <c r="G36" i="1"/>
  <c r="G37" i="1" a="1"/>
  <c r="G37" i="1" s="1"/>
  <c r="G38" i="1" a="1"/>
  <c r="G38" i="1" s="1"/>
  <c r="G39" i="1" a="1"/>
  <c r="G39" i="1"/>
  <c r="G40" i="1" a="1"/>
  <c r="G40" i="1"/>
  <c r="G41" i="1" a="1"/>
  <c r="G41" i="1"/>
  <c r="G42" i="1" a="1"/>
  <c r="G42" i="1" s="1"/>
  <c r="G43" i="1" a="1"/>
  <c r="G43" i="1" s="1"/>
  <c r="G44" i="1" a="1"/>
  <c r="G44" i="1"/>
  <c r="G45" i="1" a="1"/>
  <c r="G45" i="1"/>
  <c r="G46" i="1" a="1"/>
  <c r="G46" i="1" s="1"/>
  <c r="G47" i="1" a="1"/>
  <c r="G47" i="1" s="1"/>
  <c r="G48" i="1" a="1"/>
  <c r="G48" i="1" s="1"/>
  <c r="G49" i="1" a="1"/>
  <c r="G49" i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/>
  <c r="G56" i="1" a="1"/>
  <c r="G56" i="1"/>
  <c r="G57" i="1" a="1"/>
  <c r="G57" i="1" s="1"/>
  <c r="G58" i="1" a="1"/>
  <c r="G58" i="1"/>
  <c r="G59" i="1" a="1"/>
  <c r="G59" i="1" s="1"/>
  <c r="G60" i="1" a="1"/>
  <c r="G60" i="1"/>
  <c r="G61" i="1" a="1"/>
  <c r="G61" i="1" s="1"/>
  <c r="G62" i="1" a="1"/>
  <c r="G62" i="1" s="1"/>
  <c r="G63" i="1" a="1"/>
  <c r="G63" i="1" s="1"/>
  <c r="G64" i="1" a="1"/>
  <c r="G64" i="1" s="1"/>
  <c r="G65" i="1" a="1"/>
  <c r="G65" i="1"/>
  <c r="G66" i="1" a="1"/>
  <c r="G66" i="1" s="1"/>
  <c r="G67" i="1" a="1"/>
  <c r="G67" i="1" s="1"/>
  <c r="G68" i="1" a="1"/>
  <c r="G68" i="1"/>
  <c r="G69" i="1" a="1"/>
  <c r="G69" i="1" s="1"/>
  <c r="G70" i="1" a="1"/>
  <c r="G70" i="1"/>
  <c r="G71" i="1" a="1"/>
  <c r="G71" i="1" s="1"/>
  <c r="G72" i="1" a="1"/>
  <c r="G72" i="1" s="1"/>
  <c r="G73" i="1" a="1"/>
  <c r="G73" i="1"/>
  <c r="G74" i="1" a="1"/>
  <c r="G74" i="1"/>
  <c r="G75" i="1" a="1"/>
  <c r="G75" i="1" s="1"/>
  <c r="G76" i="1" a="1"/>
  <c r="G76" i="1" s="1"/>
  <c r="G77" i="1" a="1"/>
  <c r="G77" i="1"/>
  <c r="G78" i="1" a="1"/>
  <c r="G78" i="1" s="1"/>
  <c r="G79" i="1" a="1"/>
  <c r="G79" i="1"/>
  <c r="G80" i="1" a="1"/>
  <c r="G80" i="1" s="1"/>
  <c r="G81" i="1" a="1"/>
  <c r="G81" i="1" s="1"/>
  <c r="G82" i="1" a="1"/>
  <c r="G82" i="1"/>
  <c r="G83" i="1" a="1"/>
  <c r="G83" i="1" s="1"/>
  <c r="G84" i="1" a="1"/>
  <c r="G84" i="1"/>
  <c r="G85" i="1" a="1"/>
  <c r="G85" i="1" s="1"/>
  <c r="G86" i="1" a="1"/>
  <c r="G86" i="1"/>
  <c r="G87" i="1" a="1"/>
  <c r="G87" i="1"/>
  <c r="G88" i="1" a="1"/>
  <c r="G88" i="1" s="1"/>
  <c r="G89" i="1" a="1"/>
  <c r="G89" i="1"/>
  <c r="G90" i="1" a="1"/>
  <c r="G90" i="1"/>
  <c r="G91" i="1" a="1"/>
  <c r="G91" i="1" s="1"/>
  <c r="G92" i="1" a="1"/>
  <c r="G92" i="1"/>
  <c r="G93" i="1" a="1"/>
  <c r="G93" i="1"/>
  <c r="G94" i="1" a="1"/>
  <c r="G94" i="1" s="1"/>
  <c r="G95" i="1" a="1"/>
  <c r="G95" i="1"/>
  <c r="G96" i="1" a="1"/>
  <c r="G96" i="1"/>
  <c r="G97" i="1" a="1"/>
  <c r="G97" i="1" s="1"/>
  <c r="G98" i="1" a="1"/>
  <c r="G98" i="1" s="1"/>
  <c r="G99" i="1" a="1"/>
  <c r="G99" i="1" s="1"/>
  <c r="G100" i="1" a="1"/>
  <c r="G100" i="1"/>
  <c r="G101" i="1" a="1"/>
  <c r="G101" i="1"/>
  <c r="G102" i="1" a="1"/>
  <c r="G102" i="1"/>
  <c r="G103" i="1" a="1"/>
  <c r="G103" i="1"/>
  <c r="G104" i="1" a="1"/>
  <c r="G104" i="1" s="1"/>
  <c r="G105" i="1" a="1"/>
  <c r="G105" i="1" s="1"/>
  <c r="G106" i="1" a="1"/>
  <c r="G106" i="1"/>
  <c r="G107" i="1" a="1"/>
  <c r="G107" i="1" s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 s="1"/>
  <c r="G114" i="1" a="1"/>
  <c r="G114" i="1" s="1"/>
  <c r="G115" i="1" a="1"/>
  <c r="G115" i="1" s="1"/>
  <c r="G116" i="1" a="1"/>
  <c r="G116" i="1" s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 s="1"/>
  <c r="G123" i="1" a="1"/>
  <c r="G123" i="1" s="1"/>
  <c r="G124" i="1" a="1"/>
  <c r="G124" i="1"/>
  <c r="G125" i="1" a="1"/>
  <c r="G125" i="1" s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 s="1"/>
  <c r="G132" i="1" a="1"/>
  <c r="G132" i="1"/>
  <c r="G133" i="1" a="1"/>
  <c r="G133" i="1"/>
  <c r="G134" i="1" a="1"/>
  <c r="G134" i="1"/>
  <c r="G135" i="1" a="1"/>
  <c r="G135" i="1" s="1"/>
  <c r="G136" i="1" a="1"/>
  <c r="G136" i="1" s="1"/>
  <c r="G137" i="1" a="1"/>
  <c r="G137" i="1"/>
  <c r="G138" i="1" a="1"/>
  <c r="G138" i="1"/>
  <c r="G139" i="1" a="1"/>
  <c r="G139" i="1" s="1"/>
  <c r="G140" i="1" a="1"/>
  <c r="G140" i="1" s="1"/>
  <c r="G141" i="1" a="1"/>
  <c r="G141" i="1" s="1"/>
  <c r="G142" i="1" a="1"/>
  <c r="G142" i="1"/>
  <c r="G143" i="1" a="1"/>
  <c r="G143" i="1" s="1"/>
  <c r="G144" i="1" a="1"/>
  <c r="G144" i="1"/>
  <c r="G145" i="1" a="1"/>
  <c r="G145" i="1"/>
  <c r="G146" i="1" a="1"/>
  <c r="G146" i="1"/>
  <c r="G147" i="1" a="1"/>
  <c r="G147" i="1" s="1"/>
  <c r="G148" i="1" a="1"/>
  <c r="G148" i="1" s="1"/>
  <c r="G149" i="1" a="1"/>
  <c r="G149" i="1"/>
  <c r="G150" i="1" a="1"/>
  <c r="G150" i="1"/>
  <c r="G151" i="1" a="1"/>
  <c r="G151" i="1"/>
  <c r="G152" i="1" a="1"/>
  <c r="G152" i="1" s="1"/>
  <c r="G153" i="1" a="1"/>
  <c r="G153" i="1"/>
  <c r="G154" i="1" a="1"/>
  <c r="G154" i="1"/>
  <c r="G155" i="1" a="1"/>
  <c r="G155" i="1" s="1"/>
  <c r="G156" i="1" a="1"/>
  <c r="G156" i="1"/>
  <c r="G157" i="1" a="1"/>
  <c r="G157" i="1" s="1"/>
  <c r="G158" i="1" a="1"/>
  <c r="G158" i="1" s="1"/>
  <c r="G159" i="1" a="1"/>
  <c r="G159" i="1" s="1"/>
  <c r="G160" i="1" a="1"/>
  <c r="G160" i="1"/>
  <c r="G161" i="1" a="1"/>
  <c r="G161" i="1"/>
  <c r="G162" i="1" a="1"/>
  <c r="G162" i="1"/>
  <c r="G163" i="1" a="1"/>
  <c r="G163" i="1" s="1"/>
  <c r="G164" i="1" a="1"/>
  <c r="G164" i="1"/>
  <c r="G165" i="1" a="1"/>
  <c r="G165" i="1" s="1"/>
  <c r="G166" i="1" a="1"/>
  <c r="G166" i="1"/>
  <c r="G167" i="1" a="1"/>
  <c r="G167" i="1"/>
  <c r="G168" i="1" a="1"/>
  <c r="G168" i="1" s="1"/>
  <c r="G169" i="1" a="1"/>
  <c r="G169" i="1"/>
  <c r="G170" i="1" a="1"/>
  <c r="G170" i="1"/>
  <c r="G171" i="1" a="1"/>
  <c r="G171" i="1" s="1"/>
  <c r="G172" i="1" a="1"/>
  <c r="G172" i="1"/>
  <c r="G173" i="1" a="1"/>
  <c r="G173" i="1"/>
  <c r="G174" i="1" a="1"/>
  <c r="G174" i="1" s="1"/>
  <c r="G175" i="1" a="1"/>
  <c r="G175" i="1" s="1"/>
  <c r="G176" i="1" a="1"/>
  <c r="G176" i="1"/>
  <c r="G177" i="1" a="1"/>
  <c r="G177" i="1"/>
  <c r="G178" i="1" a="1"/>
  <c r="G178" i="1"/>
  <c r="G179" i="1" a="1"/>
  <c r="G179" i="1" s="1"/>
  <c r="G180" i="1" a="1"/>
  <c r="G180" i="1"/>
  <c r="G181" i="1" a="1"/>
  <c r="G181" i="1"/>
  <c r="G182" i="1" a="1"/>
  <c r="G182" i="1" s="1"/>
  <c r="G183" i="1" a="1"/>
  <c r="G183" i="1"/>
  <c r="G184" i="1" a="1"/>
  <c r="G184" i="1"/>
  <c r="G185" i="1" a="1"/>
  <c r="G185" i="1"/>
  <c r="G186" i="1" a="1"/>
  <c r="G186" i="1"/>
  <c r="G187" i="1" a="1"/>
  <c r="G187" i="1" s="1"/>
  <c r="G188" i="1" a="1"/>
  <c r="G188" i="1"/>
  <c r="G189" i="1" a="1"/>
  <c r="G189" i="1"/>
  <c r="G190" i="1" a="1"/>
  <c r="G190" i="1"/>
  <c r="G191" i="1" a="1"/>
  <c r="G191" i="1" s="1"/>
  <c r="G192" i="1" a="1"/>
  <c r="G192" i="1" s="1"/>
  <c r="G193" i="1" a="1"/>
  <c r="G193" i="1" s="1"/>
  <c r="G194" i="1" a="1"/>
  <c r="G194" i="1"/>
  <c r="G195" i="1" a="1"/>
  <c r="G195" i="1" s="1"/>
  <c r="G196" i="1" a="1"/>
  <c r="G196" i="1"/>
  <c r="G197" i="1" a="1"/>
  <c r="G197" i="1"/>
  <c r="G198" i="1" a="1"/>
  <c r="G198" i="1"/>
  <c r="G199" i="1" a="1"/>
  <c r="G199" i="1" s="1"/>
  <c r="G200" i="1" a="1"/>
  <c r="G200" i="1"/>
  <c r="G201" i="1" a="1"/>
  <c r="G201" i="1" s="1"/>
  <c r="G202" i="1" a="1"/>
  <c r="G202" i="1" s="1"/>
  <c r="G203" i="1" a="1"/>
  <c r="G203" i="1" s="1"/>
  <c r="G204" i="1" a="1"/>
  <c r="G204" i="1"/>
  <c r="G205" i="1" a="1"/>
  <c r="G205" i="1"/>
  <c r="G206" i="1" a="1"/>
  <c r="G206" i="1"/>
  <c r="G207" i="1" a="1"/>
  <c r="G207" i="1"/>
  <c r="G208" i="1" a="1"/>
  <c r="G208" i="1" s="1"/>
  <c r="G209" i="1" a="1"/>
  <c r="G209" i="1" s="1"/>
  <c r="G210" i="1" a="1"/>
  <c r="G210" i="1"/>
  <c r="G211" i="1" a="1"/>
  <c r="G211" i="1" s="1"/>
  <c r="G212" i="1" a="1"/>
  <c r="G212" i="1" s="1"/>
  <c r="G213" i="1" a="1"/>
  <c r="G213" i="1"/>
  <c r="G214" i="1" a="1"/>
  <c r="G214" i="1"/>
  <c r="G215" i="1" a="1"/>
  <c r="G215" i="1" s="1"/>
  <c r="G216" i="1" a="1"/>
  <c r="G216" i="1" s="1"/>
  <c r="G217" i="1" a="1"/>
  <c r="G217" i="1"/>
  <c r="G218" i="1" a="1"/>
  <c r="G218" i="1" s="1"/>
  <c r="G219" i="1" a="1"/>
  <c r="G219" i="1" s="1"/>
  <c r="G220" i="1" a="1"/>
  <c r="G220" i="1" s="1"/>
  <c r="G221" i="1" a="1"/>
  <c r="G221" i="1" s="1"/>
  <c r="G222" i="1" a="1"/>
  <c r="G222" i="1"/>
  <c r="G223" i="1" a="1"/>
  <c r="G223" i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/>
  <c r="G230" i="1" a="1"/>
  <c r="G230" i="1"/>
  <c r="G231" i="1" a="1"/>
  <c r="G231" i="1"/>
  <c r="G232" i="1" a="1"/>
  <c r="G232" i="1"/>
  <c r="G233" i="1" a="1"/>
  <c r="G233" i="1" s="1"/>
  <c r="G234" i="1" a="1"/>
  <c r="G234" i="1" s="1"/>
  <c r="G235" i="1" a="1"/>
  <c r="G235" i="1" s="1"/>
  <c r="G236" i="1" a="1"/>
  <c r="G236" i="1"/>
  <c r="G237" i="1" a="1"/>
  <c r="G237" i="1" s="1"/>
  <c r="G238" i="1" a="1"/>
  <c r="G238" i="1"/>
  <c r="G239" i="1" a="1"/>
  <c r="G239" i="1"/>
  <c r="G240" i="1" a="1"/>
  <c r="G240" i="1"/>
  <c r="G241" i="1" a="1"/>
  <c r="G241" i="1"/>
  <c r="G242" i="1" a="1"/>
  <c r="G242" i="1" s="1"/>
  <c r="G243" i="1" a="1"/>
  <c r="G243" i="1" s="1"/>
  <c r="G244" i="1" a="1"/>
  <c r="G244" i="1"/>
  <c r="G245" i="1" a="1"/>
  <c r="G245" i="1"/>
  <c r="G246" i="1" a="1"/>
  <c r="G246" i="1" s="1"/>
  <c r="G247" i="1" a="1"/>
  <c r="G247" i="1"/>
  <c r="G248" i="1" a="1"/>
  <c r="G248" i="1"/>
  <c r="G249" i="1" a="1"/>
  <c r="G249" i="1"/>
  <c r="G250" i="1" a="1"/>
  <c r="G250" i="1" s="1"/>
  <c r="G251" i="1" a="1"/>
  <c r="G251" i="1" s="1"/>
  <c r="G252" i="1" a="1"/>
  <c r="G252" i="1" s="1"/>
  <c r="G253" i="1" a="1"/>
  <c r="G253" i="1" s="1"/>
  <c r="G254" i="1" a="1"/>
  <c r="G254" i="1"/>
  <c r="G255" i="1" a="1"/>
  <c r="G255" i="1"/>
  <c r="G256" i="1" a="1"/>
  <c r="G256" i="1"/>
  <c r="G257" i="1" a="1"/>
  <c r="G257" i="1" s="1"/>
  <c r="G258" i="1" a="1"/>
  <c r="G258" i="1" s="1"/>
  <c r="G259" i="1" a="1"/>
  <c r="G259" i="1" s="1"/>
  <c r="G260" i="1" a="1"/>
  <c r="G260" i="1"/>
  <c r="G261" i="1" a="1"/>
  <c r="G261" i="1"/>
  <c r="G262" i="1" a="1"/>
  <c r="G262" i="1"/>
  <c r="G263" i="1" a="1"/>
  <c r="G263" i="1"/>
  <c r="G264" i="1" a="1"/>
  <c r="G264" i="1" s="1"/>
  <c r="G265" i="1" a="1"/>
  <c r="G265" i="1"/>
  <c r="G266" i="1" a="1"/>
  <c r="G266" i="1"/>
  <c r="G267" i="1" a="1"/>
  <c r="G267" i="1" s="1"/>
  <c r="G268" i="1" a="1"/>
  <c r="G268" i="1" s="1"/>
  <c r="G269" i="1" a="1"/>
  <c r="G269" i="1" s="1"/>
  <c r="G270" i="1" a="1"/>
  <c r="G270" i="1"/>
  <c r="G271" i="1" a="1"/>
  <c r="G271" i="1" s="1"/>
  <c r="G272" i="1" a="1"/>
  <c r="G272" i="1"/>
  <c r="G273" i="1" a="1"/>
  <c r="G273" i="1"/>
  <c r="G274" i="1" a="1"/>
  <c r="G274" i="1"/>
  <c r="G275" i="1" a="1"/>
  <c r="G275" i="1" s="1"/>
  <c r="G276" i="1" a="1"/>
  <c r="G276" i="1" s="1"/>
  <c r="G277" i="1" a="1"/>
  <c r="G277" i="1" s="1"/>
  <c r="G278" i="1" a="1"/>
  <c r="G278" i="1"/>
  <c r="G279" i="1" a="1"/>
  <c r="G279" i="1"/>
  <c r="G280" i="1" a="1"/>
  <c r="G280" i="1" s="1"/>
  <c r="G281" i="1" a="1"/>
  <c r="G281" i="1"/>
  <c r="G282" i="1" a="1"/>
  <c r="G282" i="1"/>
  <c r="G283" i="1" a="1"/>
  <c r="G283" i="1" s="1"/>
  <c r="G284" i="1" a="1"/>
  <c r="G284" i="1"/>
  <c r="G285" i="1" a="1"/>
  <c r="G285" i="1" s="1"/>
  <c r="G286" i="1" a="1"/>
  <c r="G286" i="1" s="1"/>
  <c r="G287" i="1" a="1"/>
  <c r="G287" i="1"/>
  <c r="G288" i="1" a="1"/>
  <c r="G288" i="1"/>
  <c r="G289" i="1" a="1"/>
  <c r="G289" i="1"/>
  <c r="G290" i="1" a="1"/>
  <c r="G290" i="1"/>
  <c r="G291" i="1" a="1"/>
  <c r="G291" i="1" s="1"/>
  <c r="G292" i="1" a="1"/>
  <c r="G292" i="1"/>
  <c r="G293" i="1" a="1"/>
  <c r="G293" i="1" s="1"/>
  <c r="G294" i="1" a="1"/>
  <c r="G294" i="1"/>
  <c r="G295" i="1" a="1"/>
  <c r="G295" i="1"/>
  <c r="G296" i="1" a="1"/>
  <c r="G296" i="1"/>
  <c r="G297" i="1" a="1"/>
  <c r="G297" i="1"/>
  <c r="G298" i="1" a="1"/>
  <c r="G298" i="1"/>
  <c r="G299" i="1" a="1"/>
  <c r="G299" i="1" s="1"/>
  <c r="G300" i="1" a="1"/>
  <c r="G300" i="1"/>
  <c r="G301" i="1" a="1"/>
  <c r="G301" i="1"/>
  <c r="G302" i="1" a="1"/>
  <c r="G302" i="1" s="1"/>
  <c r="G303" i="1" a="1"/>
  <c r="G303" i="1" s="1"/>
  <c r="G304" i="1" a="1"/>
  <c r="G304" i="1" s="1"/>
  <c r="G305" i="1" a="1"/>
  <c r="G305" i="1" s="1"/>
  <c r="G306" i="1" a="1"/>
  <c r="G306" i="1"/>
  <c r="G307" i="1" a="1"/>
  <c r="G307" i="1" s="1"/>
  <c r="G308" i="1" a="1"/>
  <c r="G308" i="1"/>
  <c r="G309" i="1" a="1"/>
  <c r="G309" i="1"/>
  <c r="G310" i="1" a="1"/>
  <c r="G310" i="1" s="1"/>
  <c r="G311" i="1" a="1"/>
  <c r="G311" i="1"/>
  <c r="G312" i="1" a="1"/>
  <c r="G312" i="1"/>
  <c r="G313" i="1" a="1"/>
  <c r="G313" i="1" s="1"/>
  <c r="G314" i="1" a="1"/>
  <c r="G314" i="1" s="1"/>
  <c r="G315" i="1" a="1"/>
  <c r="G315" i="1" s="1"/>
  <c r="G316" i="1" a="1"/>
  <c r="G316" i="1"/>
  <c r="G317" i="1" a="1"/>
  <c r="G317" i="1"/>
  <c r="G318" i="1" a="1"/>
  <c r="G318" i="1"/>
  <c r="G319" i="1" a="1"/>
  <c r="G319" i="1" s="1"/>
  <c r="G320" i="1" a="1"/>
  <c r="G320" i="1" s="1"/>
  <c r="G321" i="1" a="1"/>
  <c r="G321" i="1" s="1"/>
  <c r="G322" i="1" a="1"/>
  <c r="G322" i="1"/>
  <c r="G323" i="1" a="1"/>
  <c r="G323" i="1" s="1"/>
  <c r="G324" i="1" a="1"/>
  <c r="G324" i="1" s="1"/>
  <c r="G325" i="1" a="1"/>
  <c r="G325" i="1"/>
  <c r="G326" i="1" a="1"/>
  <c r="G326" i="1"/>
  <c r="G327" i="1" a="1"/>
  <c r="G327" i="1" s="1"/>
  <c r="G328" i="1" a="1"/>
  <c r="G328" i="1"/>
  <c r="G329" i="1" a="1"/>
  <c r="G329" i="1"/>
  <c r="G330" i="1" a="1"/>
  <c r="G330" i="1" s="1"/>
  <c r="G331" i="1" a="1"/>
  <c r="G331" i="1" s="1"/>
  <c r="G332" i="1" a="1"/>
  <c r="G332" i="1" s="1"/>
  <c r="G333" i="1" a="1"/>
  <c r="G333" i="1" s="1"/>
  <c r="G334" i="1" a="1"/>
  <c r="G334" i="1"/>
  <c r="G335" i="1" a="1"/>
  <c r="G335" i="1"/>
  <c r="G336" i="1" a="1"/>
  <c r="G336" i="1" s="1"/>
  <c r="G337" i="1" a="1"/>
  <c r="G337" i="1" s="1"/>
  <c r="G338" i="1" a="1"/>
  <c r="G338" i="1"/>
  <c r="G339" i="1" a="1"/>
  <c r="G339" i="1" s="1"/>
  <c r="G340" i="1" a="1"/>
  <c r="G340" i="1" s="1"/>
  <c r="G341" i="1" a="1"/>
  <c r="G341" i="1"/>
  <c r="G342" i="1" a="1"/>
  <c r="G342" i="1"/>
  <c r="G343" i="1" a="1"/>
  <c r="G343" i="1"/>
  <c r="G344" i="1" a="1"/>
  <c r="G344" i="1" s="1"/>
  <c r="G345" i="1" a="1"/>
  <c r="G345" i="1"/>
  <c r="G346" i="1" a="1"/>
  <c r="G346" i="1" s="1"/>
  <c r="G347" i="1" a="1"/>
  <c r="G347" i="1" s="1"/>
  <c r="G348" i="1" a="1"/>
  <c r="G348" i="1"/>
  <c r="G349" i="1" a="1"/>
  <c r="G349" i="1" s="1"/>
  <c r="G350" i="1" a="1"/>
  <c r="G350" i="1"/>
  <c r="G351" i="1" a="1"/>
  <c r="G351" i="1"/>
  <c r="G352" i="1" a="1"/>
  <c r="G352" i="1"/>
  <c r="G353" i="1" a="1"/>
  <c r="G353" i="1" s="1"/>
  <c r="G354" i="1" a="1"/>
  <c r="G354" i="1" s="1"/>
  <c r="G355" i="1" a="1"/>
  <c r="G355" i="1" s="1"/>
  <c r="G356" i="1" a="1"/>
  <c r="G356" i="1" s="1"/>
  <c r="G357" i="1" a="1"/>
  <c r="G357" i="1"/>
  <c r="G358" i="1" a="1"/>
  <c r="G358" i="1"/>
  <c r="G359" i="1" a="1"/>
  <c r="G359" i="1"/>
  <c r="G360" i="1" a="1"/>
  <c r="G360" i="1" s="1"/>
  <c r="G361" i="1" a="1"/>
  <c r="G361" i="1" s="1"/>
  <c r="G362" i="1" a="1"/>
  <c r="G362" i="1"/>
  <c r="G363" i="1" a="1"/>
  <c r="G363" i="1" s="1"/>
  <c r="G364" i="1" a="1"/>
  <c r="G364" i="1"/>
  <c r="G365" i="1" a="1"/>
  <c r="G365" i="1" s="1"/>
  <c r="G366" i="1" a="1"/>
  <c r="G366" i="1"/>
  <c r="G367" i="1" a="1"/>
  <c r="G367" i="1"/>
  <c r="G368" i="1" a="1"/>
  <c r="G368" i="1"/>
  <c r="G369" i="1" a="1"/>
  <c r="G369" i="1" s="1"/>
  <c r="G370" i="1" a="1"/>
  <c r="G370" i="1" s="1"/>
  <c r="G371" i="1" a="1"/>
  <c r="G371" i="1" s="1"/>
  <c r="G372" i="1" a="1"/>
  <c r="G372" i="1"/>
  <c r="G373" i="1" a="1"/>
  <c r="G373" i="1"/>
  <c r="G374" i="1" a="1"/>
  <c r="G374" i="1" s="1"/>
  <c r="G375" i="1" a="1"/>
  <c r="G375" i="1"/>
  <c r="G376" i="1" a="1"/>
  <c r="G376" i="1"/>
  <c r="G377" i="1" a="1"/>
  <c r="G377" i="1"/>
  <c r="G378" i="1" a="1"/>
  <c r="G378" i="1" s="1"/>
  <c r="G379" i="1" a="1"/>
  <c r="G379" i="1" s="1"/>
  <c r="G380" i="1" a="1"/>
  <c r="G380" i="1" s="1"/>
  <c r="G381" i="1" a="1"/>
  <c r="G381" i="1"/>
  <c r="G382" i="1" a="1"/>
  <c r="G382" i="1"/>
  <c r="G383" i="1" a="1"/>
  <c r="G383" i="1"/>
  <c r="G384" i="1" a="1"/>
  <c r="G384" i="1"/>
  <c r="G385" i="1" a="1"/>
  <c r="G385" i="1"/>
  <c r="G386" i="1" a="1"/>
  <c r="G386" i="1" s="1"/>
  <c r="G387" i="1" a="1"/>
  <c r="G387" i="1" s="1"/>
  <c r="G388" i="1" a="1"/>
  <c r="G388" i="1" s="1"/>
  <c r="G389" i="1" a="1"/>
  <c r="G389" i="1" s="1"/>
  <c r="G390" i="1" a="1"/>
  <c r="G390" i="1"/>
  <c r="G391" i="1" a="1"/>
  <c r="G391" i="1"/>
  <c r="G392" i="1" a="1"/>
  <c r="G392" i="1" s="1"/>
  <c r="G393" i="1" a="1"/>
  <c r="G393" i="1"/>
  <c r="G394" i="1" a="1"/>
  <c r="G394" i="1"/>
  <c r="G395" i="1" a="1"/>
  <c r="G395" i="1" s="1"/>
  <c r="G396" i="1" a="1"/>
  <c r="G396" i="1" s="1"/>
  <c r="G397" i="1" a="1"/>
  <c r="G397" i="1" s="1"/>
  <c r="G398" i="1" a="1"/>
  <c r="G398" i="1"/>
  <c r="G399" i="1" a="1"/>
  <c r="G399" i="1"/>
  <c r="G400" i="1" a="1"/>
  <c r="G400" i="1"/>
  <c r="G401" i="1" a="1"/>
  <c r="G401" i="1"/>
  <c r="G402" i="1" a="1"/>
  <c r="G402" i="1"/>
  <c r="G403" i="1" a="1"/>
  <c r="G403" i="1" s="1"/>
  <c r="G404" i="1" a="1"/>
  <c r="G404" i="1" s="1"/>
  <c r="G405" i="1" a="1"/>
  <c r="G405" i="1" s="1"/>
  <c r="G406" i="1" a="1"/>
  <c r="G406" i="1"/>
  <c r="G407" i="1" a="1"/>
  <c r="G407" i="1"/>
  <c r="G408" i="1" a="1"/>
  <c r="G408" i="1"/>
  <c r="G409" i="1" a="1"/>
  <c r="G409" i="1"/>
  <c r="G410" i="1" a="1"/>
  <c r="G410" i="1"/>
  <c r="G411" i="1" a="1"/>
  <c r="G411" i="1" s="1"/>
  <c r="G412" i="1" a="1"/>
  <c r="G412" i="1"/>
  <c r="G413" i="1" a="1"/>
  <c r="G413" i="1" s="1"/>
  <c r="G414" i="1" a="1"/>
  <c r="G414" i="1" s="1"/>
  <c r="G415" i="1" a="1"/>
  <c r="G415" i="1"/>
  <c r="G416" i="1" a="1"/>
  <c r="G416" i="1" s="1"/>
  <c r="G417" i="1" a="1"/>
  <c r="G417" i="1" s="1"/>
  <c r="G418" i="1" a="1"/>
  <c r="G418" i="1"/>
  <c r="G419" i="1" a="1"/>
  <c r="G419" i="1" s="1"/>
  <c r="G420" i="1" a="1"/>
  <c r="G420" i="1"/>
  <c r="G421" i="1" a="1"/>
  <c r="G421" i="1" s="1"/>
  <c r="G422" i="1" a="1"/>
  <c r="G422" i="1"/>
  <c r="G423" i="1" a="1"/>
  <c r="G423" i="1"/>
  <c r="G424" i="1" a="1"/>
  <c r="G424" i="1"/>
  <c r="G425" i="1" a="1"/>
  <c r="G425" i="1" s="1"/>
  <c r="G426" i="1" a="1"/>
  <c r="G426" i="1" s="1"/>
  <c r="G427" i="1" a="1"/>
  <c r="G427" i="1" s="1"/>
  <c r="G428" i="1" a="1"/>
  <c r="G428" i="1"/>
  <c r="G429" i="1" a="1"/>
  <c r="G429" i="1"/>
  <c r="G430" i="1" a="1"/>
  <c r="G430" i="1" s="1"/>
  <c r="G431" i="1" a="1"/>
  <c r="G431" i="1" s="1"/>
  <c r="G432" i="1" a="1"/>
  <c r="G432" i="1"/>
  <c r="G433" i="1" a="1"/>
  <c r="G433" i="1" s="1"/>
  <c r="G434" i="1" a="1"/>
  <c r="G434" i="1"/>
  <c r="G435" i="1" a="1"/>
  <c r="G435" i="1" s="1"/>
  <c r="G436" i="1" a="1"/>
  <c r="G436" i="1" s="1"/>
  <c r="G437" i="1" a="1"/>
  <c r="G437" i="1"/>
  <c r="G438" i="1" a="1"/>
  <c r="G438" i="1" s="1"/>
  <c r="G439" i="1" a="1"/>
  <c r="G439" i="1"/>
  <c r="G440" i="1" a="1"/>
  <c r="G440" i="1"/>
  <c r="G441" i="1" a="1"/>
  <c r="G441" i="1"/>
  <c r="G442" i="1" a="1"/>
  <c r="G442" i="1" s="1"/>
  <c r="G443" i="1" a="1"/>
  <c r="G443" i="1" s="1"/>
  <c r="G444" i="1" a="1"/>
  <c r="G444" i="1" s="1"/>
  <c r="G445" i="1" a="1"/>
  <c r="G445" i="1" s="1"/>
  <c r="G446" i="1" a="1"/>
  <c r="G446" i="1"/>
  <c r="G447" i="1" a="1"/>
  <c r="G447" i="1" s="1"/>
  <c r="G448" i="1" a="1"/>
  <c r="G448" i="1" s="1"/>
  <c r="G449" i="1" a="1"/>
  <c r="G449" i="1" s="1"/>
  <c r="G450" i="1" a="1"/>
  <c r="G450" i="1"/>
  <c r="G451" i="1" a="1"/>
  <c r="G451" i="1" s="1"/>
  <c r="G452" i="1" a="1"/>
  <c r="G452" i="1" s="1"/>
  <c r="G453" i="1" a="1"/>
  <c r="G453" i="1"/>
  <c r="G454" i="1" a="1"/>
  <c r="G454" i="1"/>
  <c r="G455" i="1" a="1"/>
  <c r="G455" i="1" s="1"/>
  <c r="G456" i="1" a="1"/>
  <c r="G456" i="1"/>
  <c r="G457" i="1" a="1"/>
  <c r="G457" i="1"/>
  <c r="G458" i="1" a="1"/>
  <c r="G458" i="1" s="1"/>
  <c r="G459" i="1" a="1"/>
  <c r="G459" i="1" s="1"/>
  <c r="G460" i="1" a="1"/>
  <c r="G460" i="1"/>
  <c r="G461" i="1" a="1"/>
  <c r="G461" i="1" s="1"/>
  <c r="G462" i="1" a="1"/>
  <c r="G462" i="1"/>
  <c r="G463" i="1" a="1"/>
  <c r="G463" i="1"/>
  <c r="G464" i="1" a="1"/>
  <c r="G464" i="1" s="1"/>
  <c r="G465" i="1" a="1"/>
  <c r="G465" i="1" s="1"/>
  <c r="G466" i="1" a="1"/>
  <c r="G466" i="1"/>
  <c r="G467" i="1" a="1"/>
  <c r="G467" i="1" s="1"/>
  <c r="G468" i="1" a="1"/>
  <c r="G468" i="1" s="1"/>
  <c r="G469" i="1" a="1"/>
  <c r="G469" i="1"/>
  <c r="G470" i="1" a="1"/>
  <c r="G470" i="1"/>
  <c r="G471" i="1" a="1"/>
  <c r="G471" i="1"/>
  <c r="G472" i="1" a="1"/>
  <c r="G472" i="1" s="1"/>
  <c r="G473" i="1" a="1"/>
  <c r="G473" i="1"/>
  <c r="G474" i="1" a="1"/>
  <c r="G474" i="1"/>
  <c r="G475" i="1" a="1"/>
  <c r="G475" i="1" s="1"/>
  <c r="G476" i="1" a="1"/>
  <c r="G476" i="1"/>
  <c r="G477" i="1" a="1"/>
  <c r="G477" i="1" s="1"/>
  <c r="G478" i="1" a="1"/>
  <c r="G478" i="1"/>
  <c r="G479" i="1" a="1"/>
  <c r="G479" i="1"/>
  <c r="G480" i="1" a="1"/>
  <c r="G480" i="1"/>
  <c r="G481" i="1" a="1"/>
  <c r="G481" i="1" s="1"/>
  <c r="G482" i="1" a="1"/>
  <c r="G482" i="1" s="1"/>
  <c r="G483" i="1" a="1"/>
  <c r="G483" i="1" s="1"/>
  <c r="G484" i="1" a="1"/>
  <c r="G484" i="1"/>
  <c r="G485" i="1" a="1"/>
  <c r="G485" i="1"/>
  <c r="G486" i="1" a="1"/>
  <c r="G486" i="1"/>
  <c r="G487" i="1" a="1"/>
  <c r="G487" i="1"/>
  <c r="G488" i="1" a="1"/>
  <c r="G488" i="1"/>
  <c r="G489" i="1" a="1"/>
  <c r="G489" i="1" s="1"/>
  <c r="G490" i="1" a="1"/>
  <c r="G490" i="1"/>
  <c r="G491" i="1" a="1"/>
  <c r="G491" i="1" s="1"/>
  <c r="G492" i="1" a="1"/>
  <c r="G492" i="1"/>
  <c r="G493" i="1" a="1"/>
  <c r="G493" i="1"/>
  <c r="G494" i="1" a="1"/>
  <c r="G494" i="1"/>
  <c r="G495" i="1" a="1"/>
  <c r="G495" i="1"/>
  <c r="G496" i="1" a="1"/>
  <c r="G496" i="1"/>
  <c r="G497" i="1" a="1"/>
  <c r="G497" i="1"/>
  <c r="G498" i="1" a="1"/>
  <c r="G498" i="1" s="1"/>
  <c r="G499" i="1" a="1"/>
  <c r="G499" i="1" s="1"/>
  <c r="G500" i="1" a="1"/>
  <c r="G500" i="1"/>
  <c r="G501" i="1" a="1"/>
  <c r="G501" i="1"/>
  <c r="G502" i="1" a="1"/>
  <c r="G502" i="1"/>
  <c r="G503" i="1" a="1"/>
  <c r="G503" i="1"/>
  <c r="G504" i="1" a="1"/>
  <c r="G504" i="1"/>
  <c r="G505" i="1" a="1"/>
  <c r="G505" i="1"/>
  <c r="G506" i="1" a="1"/>
  <c r="G506" i="1" s="1"/>
  <c r="G507" i="1" a="1"/>
  <c r="G507" i="1" s="1"/>
  <c r="G508" i="1" a="1"/>
  <c r="G508" i="1" s="1"/>
  <c r="G509" i="1" a="1"/>
  <c r="G509" i="1"/>
  <c r="G510" i="1" a="1"/>
  <c r="G510" i="1" s="1"/>
  <c r="G511" i="1" a="1"/>
  <c r="G511" i="1" s="1"/>
  <c r="G512" i="1" a="1"/>
  <c r="G512" i="1"/>
  <c r="G513" i="1" a="1"/>
  <c r="G513" i="1"/>
  <c r="G514" i="1" a="1"/>
  <c r="G514" i="1" s="1"/>
  <c r="G515" i="1" a="1"/>
  <c r="G515" i="1" s="1"/>
  <c r="G516" i="1" a="1"/>
  <c r="G516" i="1"/>
  <c r="G517" i="1" a="1"/>
  <c r="G517" i="1" s="1"/>
  <c r="G518" i="1" a="1"/>
  <c r="G518" i="1"/>
  <c r="G519" i="1" a="1"/>
  <c r="G519" i="1"/>
  <c r="G520" i="1" a="1"/>
  <c r="G520" i="1"/>
  <c r="G521" i="1" a="1"/>
  <c r="G521" i="1"/>
  <c r="G522" i="1" a="1"/>
  <c r="G522" i="1"/>
  <c r="G523" i="1" a="1"/>
  <c r="G523" i="1" s="1"/>
  <c r="G524" i="1" a="1"/>
  <c r="G524" i="1" s="1"/>
  <c r="G525" i="1" a="1"/>
  <c r="G525" i="1" s="1"/>
  <c r="G526" i="1" a="1"/>
  <c r="G526" i="1"/>
  <c r="G527" i="1" a="1"/>
  <c r="G527" i="1"/>
  <c r="G528" i="1" a="1"/>
  <c r="G528" i="1" s="1"/>
  <c r="G529" i="1" a="1"/>
  <c r="G529" i="1" s="1"/>
  <c r="G530" i="1" a="1"/>
  <c r="G530" i="1"/>
  <c r="G531" i="1" a="1"/>
  <c r="G531" i="1" s="1"/>
  <c r="G532" i="1" a="1"/>
  <c r="G532" i="1" s="1"/>
  <c r="G533" i="1" a="1"/>
  <c r="G533" i="1" s="1"/>
  <c r="G534" i="1" a="1"/>
  <c r="G534" i="1"/>
  <c r="G535" i="1" a="1"/>
  <c r="G535" i="1"/>
  <c r="G536" i="1" a="1"/>
  <c r="G536" i="1"/>
  <c r="G537" i="1" a="1"/>
  <c r="G537" i="1" s="1"/>
  <c r="G538" i="1" a="1"/>
  <c r="G538" i="1" s="1"/>
  <c r="G539" i="1" a="1"/>
  <c r="G539" i="1" s="1"/>
  <c r="G540" i="1" a="1"/>
  <c r="G540" i="1"/>
  <c r="G541" i="1" a="1"/>
  <c r="G541" i="1" s="1"/>
  <c r="G542" i="1" a="1"/>
  <c r="G542" i="1" s="1"/>
  <c r="G543" i="1" a="1"/>
  <c r="G543" i="1"/>
  <c r="G544" i="1" a="1"/>
  <c r="G544" i="1"/>
  <c r="G545" i="1" a="1"/>
  <c r="G545" i="1" s="1"/>
  <c r="G546" i="1" a="1"/>
  <c r="G546" i="1"/>
  <c r="G547" i="1" a="1"/>
  <c r="G547" i="1" s="1"/>
  <c r="G548" i="1" a="1"/>
  <c r="G548" i="1" s="1"/>
  <c r="G549" i="1" a="1"/>
  <c r="G549" i="1" s="1"/>
  <c r="G550" i="1" a="1"/>
  <c r="G550" i="1"/>
  <c r="G551" i="1" a="1"/>
  <c r="G551" i="1"/>
  <c r="G552" i="1" a="1"/>
  <c r="G552" i="1"/>
  <c r="G553" i="1" a="1"/>
  <c r="G553" i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/>
  <c r="G561" i="1" a="1"/>
  <c r="G561" i="1" s="1"/>
  <c r="G562" i="1" a="1"/>
  <c r="G562" i="1"/>
  <c r="G563" i="1" a="1"/>
  <c r="G563" i="1" s="1"/>
  <c r="G564" i="1" a="1"/>
  <c r="G564" i="1" s="1"/>
  <c r="G565" i="1" a="1"/>
  <c r="G565" i="1"/>
  <c r="G566" i="1" a="1"/>
  <c r="G566" i="1" s="1"/>
  <c r="G567" i="1" a="1"/>
  <c r="G567" i="1" s="1"/>
  <c r="G568" i="1" a="1"/>
  <c r="G568" i="1"/>
  <c r="G569" i="1" a="1"/>
  <c r="G569" i="1"/>
  <c r="G570" i="1" a="1"/>
  <c r="G570" i="1" s="1"/>
  <c r="G571" i="1" a="1"/>
  <c r="G571" i="1" s="1"/>
  <c r="G572" i="1" a="1"/>
  <c r="G572" i="1"/>
  <c r="G573" i="1" a="1"/>
  <c r="G573" i="1" s="1"/>
  <c r="G574" i="1" a="1"/>
  <c r="G574" i="1"/>
  <c r="G575" i="1" a="1"/>
  <c r="G575" i="1" s="1"/>
  <c r="G576" i="1" a="1"/>
  <c r="G576" i="1" s="1"/>
  <c r="G577" i="1" a="1"/>
  <c r="G577" i="1"/>
  <c r="G578" i="1" a="1"/>
  <c r="G578" i="1"/>
  <c r="G579" i="1" a="1"/>
  <c r="G579" i="1" s="1"/>
  <c r="G580" i="1" a="1"/>
  <c r="G580" i="1" s="1"/>
  <c r="G581" i="1" a="1"/>
  <c r="G581" i="1"/>
  <c r="G582" i="1" a="1"/>
  <c r="G582" i="1"/>
  <c r="G583" i="1" a="1"/>
  <c r="G583" i="1" s="1"/>
  <c r="G584" i="1" a="1"/>
  <c r="G584" i="1"/>
  <c r="G585" i="1" a="1"/>
  <c r="G585" i="1"/>
  <c r="G586" i="1" a="1"/>
  <c r="G586" i="1"/>
  <c r="G587" i="1" a="1"/>
  <c r="G587" i="1" s="1"/>
  <c r="G588" i="1" a="1"/>
  <c r="G588" i="1"/>
  <c r="G589" i="1" a="1"/>
  <c r="G589" i="1" s="1"/>
  <c r="G590" i="1" a="1"/>
  <c r="G590" i="1"/>
  <c r="G591" i="1" a="1"/>
  <c r="G591" i="1"/>
  <c r="G592" i="1" a="1"/>
  <c r="G592" i="1" s="1"/>
  <c r="G593" i="1" a="1"/>
  <c r="G593" i="1" s="1"/>
  <c r="G594" i="1" a="1"/>
  <c r="G594" i="1" s="1"/>
  <c r="G595" i="1" a="1"/>
  <c r="G595" i="1" s="1"/>
  <c r="G596" i="1" a="1"/>
  <c r="G596" i="1"/>
  <c r="G597" i="1" a="1"/>
  <c r="G597" i="1"/>
  <c r="G598" i="1" a="1"/>
  <c r="G598" i="1"/>
  <c r="G599" i="1" a="1"/>
  <c r="G599" i="1"/>
  <c r="G600" i="1" a="1"/>
  <c r="G600" i="1" s="1"/>
  <c r="G601" i="1" a="1"/>
  <c r="G601" i="1"/>
  <c r="G602" i="1" a="1"/>
  <c r="G602" i="1"/>
  <c r="G603" i="1" a="1"/>
  <c r="G603" i="1" s="1"/>
  <c r="G604" i="1" a="1"/>
  <c r="G604" i="1"/>
  <c r="G605" i="1" a="1"/>
  <c r="G605" i="1"/>
  <c r="G606" i="1" a="1"/>
  <c r="G606" i="1"/>
  <c r="G607" i="1" a="1"/>
  <c r="G607" i="1"/>
  <c r="G608" i="1" a="1"/>
  <c r="G608" i="1"/>
  <c r="G609" i="1" a="1"/>
  <c r="G609" i="1" s="1"/>
  <c r="G610" i="1" a="1"/>
  <c r="G610" i="1" s="1"/>
  <c r="G611" i="1" a="1"/>
  <c r="G611" i="1" s="1"/>
  <c r="G612" i="1" a="1"/>
  <c r="G612" i="1"/>
  <c r="G613" i="1" a="1"/>
  <c r="G613" i="1" s="1"/>
  <c r="G614" i="1" a="1"/>
  <c r="G614" i="1" s="1"/>
  <c r="G615" i="1" a="1"/>
  <c r="G615" i="1"/>
  <c r="G616" i="1" a="1"/>
  <c r="G616" i="1"/>
  <c r="G617" i="1" a="1"/>
  <c r="G617" i="1" s="1"/>
  <c r="G618" i="1" a="1"/>
  <c r="G618" i="1"/>
  <c r="G619" i="1" a="1"/>
  <c r="G619" i="1" s="1"/>
  <c r="G620" i="1" a="1"/>
  <c r="G620" i="1"/>
  <c r="G621" i="1" a="1"/>
  <c r="G621" i="1"/>
  <c r="G622" i="1" a="1"/>
  <c r="G622" i="1" s="1"/>
  <c r="G623" i="1" a="1"/>
  <c r="G623" i="1" s="1"/>
  <c r="G624" i="1" a="1"/>
  <c r="G624" i="1"/>
  <c r="G625" i="1" a="1"/>
  <c r="G625" i="1"/>
  <c r="G626" i="1" a="1"/>
  <c r="G626" i="1" s="1"/>
  <c r="G627" i="1" a="1"/>
  <c r="G627" i="1" s="1"/>
  <c r="G628" i="1" a="1"/>
  <c r="G628" i="1"/>
  <c r="G629" i="1" a="1"/>
  <c r="G629" i="1"/>
  <c r="G630" i="1" a="1"/>
  <c r="G630" i="1"/>
  <c r="G631" i="1" a="1"/>
  <c r="G631" i="1" s="1"/>
  <c r="G632" i="1" a="1"/>
  <c r="G632" i="1" s="1"/>
  <c r="G633" i="1" a="1"/>
  <c r="G633" i="1"/>
  <c r="G634" i="1" a="1"/>
  <c r="G634" i="1" s="1"/>
  <c r="G635" i="1" a="1"/>
  <c r="G635" i="1" s="1"/>
  <c r="G636" i="1" a="1"/>
  <c r="G636" i="1" s="1"/>
  <c r="G637" i="1" a="1"/>
  <c r="G637" i="1"/>
  <c r="G638" i="1" a="1"/>
  <c r="G638" i="1"/>
  <c r="G639" i="1" a="1"/>
  <c r="G639" i="1" s="1"/>
  <c r="G640" i="1" a="1"/>
  <c r="G640" i="1"/>
  <c r="G641" i="1" a="1"/>
  <c r="G641" i="1"/>
  <c r="G642" i="1" a="1"/>
  <c r="G642" i="1"/>
  <c r="G643" i="1" a="1"/>
  <c r="G643" i="1" s="1"/>
  <c r="G644" i="1" a="1"/>
  <c r="G644" i="1"/>
  <c r="G645" i="1" a="1"/>
  <c r="G645" i="1" s="1"/>
  <c r="G646" i="1" a="1"/>
  <c r="G646" i="1"/>
  <c r="G647" i="1" a="1"/>
  <c r="G647" i="1"/>
  <c r="G648" i="1" a="1"/>
  <c r="G648" i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/>
  <c r="G655" i="1" a="1"/>
  <c r="G655" i="1"/>
  <c r="G656" i="1" a="1"/>
  <c r="G656" i="1"/>
  <c r="G657" i="1" a="1"/>
  <c r="G657" i="1" s="1"/>
  <c r="G658" i="1" a="1"/>
  <c r="G658" i="1"/>
  <c r="G659" i="1" a="1"/>
  <c r="G659" i="1" s="1"/>
  <c r="G660" i="1" a="1"/>
  <c r="G660" i="1" s="1"/>
  <c r="G661" i="1" a="1"/>
  <c r="G661" i="1"/>
  <c r="G662" i="1" a="1"/>
  <c r="G662" i="1"/>
  <c r="G663" i="1" a="1"/>
  <c r="G663" i="1"/>
  <c r="G664" i="1" a="1"/>
  <c r="G664" i="1"/>
  <c r="G665" i="1" a="1"/>
  <c r="G665" i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/>
  <c r="G672" i="1" a="1"/>
  <c r="G672" i="1"/>
  <c r="G673" i="1" a="1"/>
  <c r="G673" i="1" s="1"/>
  <c r="G674" i="1" a="1"/>
  <c r="G674" i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/>
  <c r="G681" i="1" a="1"/>
  <c r="G681" i="1"/>
  <c r="G682" i="1" a="1"/>
  <c r="G682" i="1" s="1"/>
  <c r="G683" i="1" a="1"/>
  <c r="G683" i="1"/>
  <c r="G684" i="1" a="1"/>
  <c r="G684" i="1"/>
  <c r="G685" i="1" a="1"/>
  <c r="G685" i="1" s="1"/>
  <c r="G686" i="1" a="1"/>
  <c r="G686" i="1"/>
  <c r="G687" i="1" a="1"/>
  <c r="G687" i="1"/>
  <c r="G688" i="1" a="1"/>
  <c r="G688" i="1"/>
  <c r="G689" i="1" a="1"/>
  <c r="G689" i="1"/>
  <c r="G690" i="1" a="1"/>
  <c r="G690" i="1"/>
  <c r="G691" i="1" a="1"/>
  <c r="G691" i="1"/>
  <c r="G692" i="1" a="1"/>
  <c r="G692" i="1"/>
  <c r="G693" i="1" a="1"/>
  <c r="G693" i="1" s="1"/>
  <c r="G694" i="1" a="1"/>
  <c r="G694" i="1"/>
  <c r="G695" i="1" a="1"/>
  <c r="G695" i="1" s="1"/>
  <c r="G696" i="1" a="1"/>
  <c r="G696" i="1" s="1"/>
  <c r="G697" i="1" a="1"/>
  <c r="G697" i="1"/>
  <c r="G698" i="1" a="1"/>
  <c r="G698" i="1"/>
  <c r="G699" i="1" a="1"/>
  <c r="G699" i="1" s="1"/>
  <c r="G700" i="1" a="1"/>
  <c r="G700" i="1"/>
  <c r="G701" i="1" a="1"/>
  <c r="G701" i="1" s="1"/>
  <c r="G702" i="1" a="1"/>
  <c r="G702" i="1" s="1"/>
  <c r="G703" i="1" a="1"/>
  <c r="G703" i="1"/>
  <c r="G704" i="1" a="1"/>
  <c r="G704" i="1"/>
  <c r="G705" i="1" a="1"/>
  <c r="G705" i="1"/>
  <c r="G706" i="1" a="1"/>
  <c r="G706" i="1"/>
  <c r="G707" i="1" a="1"/>
  <c r="G707" i="1"/>
  <c r="G708" i="1" a="1"/>
  <c r="G708" i="1"/>
  <c r="G709" i="1" a="1"/>
  <c r="G709" i="1" s="1"/>
  <c r="G710" i="1" a="1"/>
  <c r="G710" i="1"/>
  <c r="G711" i="1" a="1"/>
  <c r="G711" i="1"/>
  <c r="G712" i="1" a="1"/>
  <c r="G712" i="1" s="1"/>
  <c r="G713" i="1" a="1"/>
  <c r="G713" i="1" s="1"/>
  <c r="G714" i="1" a="1"/>
  <c r="G714" i="1"/>
  <c r="G715" i="1" a="1"/>
  <c r="G715" i="1"/>
  <c r="G716" i="1" a="1"/>
  <c r="G716" i="1" s="1"/>
  <c r="G717" i="1" a="1"/>
  <c r="G717" i="1" s="1"/>
  <c r="G718" i="1" a="1"/>
  <c r="G718" i="1"/>
  <c r="G719" i="1" a="1"/>
  <c r="G719" i="1" s="1"/>
  <c r="G720" i="1" a="1"/>
  <c r="G720" i="1"/>
  <c r="G721" i="1" a="1"/>
  <c r="G721" i="1"/>
  <c r="G722" i="1" a="1"/>
  <c r="G722" i="1"/>
  <c r="G723" i="1" a="1"/>
  <c r="G723" i="1"/>
  <c r="G724" i="1" a="1"/>
  <c r="G724" i="1"/>
  <c r="G725" i="1" a="1"/>
  <c r="G725" i="1" s="1"/>
  <c r="G726" i="1" a="1"/>
  <c r="G726" i="1"/>
  <c r="G727" i="1" a="1"/>
  <c r="G727" i="1"/>
  <c r="G728" i="1" a="1"/>
  <c r="G728" i="1"/>
  <c r="G729" i="1" a="1"/>
  <c r="G729" i="1" s="1"/>
  <c r="G730" i="1" a="1"/>
  <c r="G730" i="1" s="1"/>
  <c r="G731" i="1" a="1"/>
  <c r="G731" i="1"/>
  <c r="G732" i="1" a="1"/>
  <c r="G732" i="1"/>
  <c r="G733" i="1" a="1"/>
  <c r="G733" i="1" s="1"/>
  <c r="G734" i="1" a="1"/>
  <c r="G734" i="1"/>
  <c r="G735" i="1" a="1"/>
  <c r="G735" i="1"/>
  <c r="G736" i="1" a="1"/>
  <c r="G736" i="1" s="1"/>
  <c r="G737" i="1" a="1"/>
  <c r="G737" i="1"/>
  <c r="G738" i="1" a="1"/>
  <c r="G738" i="1"/>
  <c r="G739" i="1" a="1"/>
  <c r="G739" i="1"/>
  <c r="G740" i="1" a="1"/>
  <c r="G740" i="1"/>
  <c r="G741" i="1" a="1"/>
  <c r="G741" i="1" s="1"/>
  <c r="G742" i="1" a="1"/>
  <c r="G742" i="1" s="1"/>
  <c r="G743" i="1" a="1"/>
  <c r="G743" i="1"/>
  <c r="G744" i="1" a="1"/>
  <c r="G744" i="1"/>
  <c r="G745" i="1" a="1"/>
  <c r="G745" i="1"/>
  <c r="G746" i="1" a="1"/>
  <c r="G746" i="1" s="1"/>
  <c r="G747" i="1" a="1"/>
  <c r="G747" i="1" s="1"/>
  <c r="G748" i="1" a="1"/>
  <c r="G748" i="1"/>
  <c r="G749" i="1" a="1"/>
  <c r="G749" i="1" s="1"/>
  <c r="G750" i="1" a="1"/>
  <c r="G750" i="1"/>
  <c r="G751" i="1" a="1"/>
  <c r="G751" i="1"/>
  <c r="G752" i="1" a="1"/>
  <c r="G752" i="1"/>
  <c r="G753" i="1" a="1"/>
  <c r="G753" i="1" s="1"/>
  <c r="G754" i="1" a="1"/>
  <c r="G754" i="1"/>
  <c r="G755" i="1" a="1"/>
  <c r="G755" i="1"/>
  <c r="G756" i="1" a="1"/>
  <c r="G756" i="1"/>
  <c r="G757" i="1" a="1"/>
  <c r="G757" i="1" s="1"/>
  <c r="G758" i="1" a="1"/>
  <c r="G758" i="1"/>
  <c r="G759" i="1" a="1"/>
  <c r="G759" i="1" s="1"/>
  <c r="G760" i="1" a="1"/>
  <c r="G760" i="1"/>
  <c r="G761" i="1" a="1"/>
  <c r="G761" i="1"/>
  <c r="G762" i="1" a="1"/>
  <c r="G762" i="1"/>
  <c r="G763" i="1" a="1"/>
  <c r="G763" i="1" s="1"/>
  <c r="G764" i="1" a="1"/>
  <c r="G764" i="1" s="1"/>
  <c r="G765" i="1" a="1"/>
  <c r="G765" i="1" s="1"/>
  <c r="G766" i="1" a="1"/>
  <c r="G766" i="1"/>
  <c r="G767" i="1" a="1"/>
  <c r="G767" i="1"/>
  <c r="G768" i="1" a="1"/>
  <c r="G768" i="1"/>
  <c r="G769" i="1" a="1"/>
  <c r="G769" i="1"/>
  <c r="G770" i="1" a="1"/>
  <c r="G770" i="1" s="1"/>
  <c r="G771" i="1" a="1"/>
  <c r="G771" i="1"/>
  <c r="G772" i="1" a="1"/>
  <c r="G772" i="1"/>
  <c r="G773" i="1" a="1"/>
  <c r="G773" i="1" s="1"/>
  <c r="G774" i="1" a="1"/>
  <c r="G774" i="1"/>
  <c r="G775" i="1" a="1"/>
  <c r="G775" i="1"/>
  <c r="G776" i="1" a="1"/>
  <c r="G776" i="1" s="1"/>
  <c r="G777" i="1" a="1"/>
  <c r="G777" i="1"/>
  <c r="G778" i="1" a="1"/>
  <c r="G778" i="1"/>
  <c r="G779" i="1" a="1"/>
  <c r="G779" i="1"/>
  <c r="G780" i="1" a="1"/>
  <c r="G780" i="1" s="1"/>
  <c r="G781" i="1" a="1"/>
  <c r="G781" i="1" s="1"/>
  <c r="G782" i="1" a="1"/>
  <c r="G782" i="1"/>
  <c r="G783" i="1" a="1"/>
  <c r="G783" i="1"/>
  <c r="G784" i="1" a="1"/>
  <c r="G784" i="1"/>
  <c r="G785" i="1" a="1"/>
  <c r="G785" i="1"/>
  <c r="G786" i="1" a="1"/>
  <c r="G786" i="1"/>
  <c r="G787" i="1" a="1"/>
  <c r="G787" i="1" s="1"/>
  <c r="G788" i="1" a="1"/>
  <c r="G788" i="1"/>
  <c r="G789" i="1" a="1"/>
  <c r="G789" i="1" s="1"/>
  <c r="G790" i="1" a="1"/>
  <c r="G790" i="1" s="1"/>
  <c r="G791" i="1" a="1"/>
  <c r="G791" i="1"/>
  <c r="G792" i="1" a="1"/>
  <c r="G792" i="1"/>
  <c r="G793" i="1" a="1"/>
  <c r="G793" i="1" s="1"/>
  <c r="G794" i="1" a="1"/>
  <c r="G794" i="1"/>
  <c r="G795" i="1" a="1"/>
  <c r="G795" i="1"/>
  <c r="G796" i="1" a="1"/>
  <c r="G796" i="1"/>
  <c r="G797" i="1" a="1"/>
  <c r="G797" i="1" s="1"/>
  <c r="G798" i="1" a="1"/>
  <c r="G798" i="1"/>
  <c r="G799" i="1" a="1"/>
  <c r="G799" i="1"/>
  <c r="G800" i="1" a="1"/>
  <c r="G800" i="1"/>
  <c r="G801" i="1" a="1"/>
  <c r="G801" i="1"/>
  <c r="G802" i="1" a="1"/>
  <c r="G802" i="1"/>
  <c r="G803" i="1" a="1"/>
  <c r="G803" i="1"/>
  <c r="G804" i="1" a="1"/>
  <c r="G804" i="1" s="1"/>
  <c r="G805" i="1" a="1"/>
  <c r="G805" i="1" s="1"/>
  <c r="G806" i="1" a="1"/>
  <c r="G806" i="1" s="1"/>
  <c r="G807" i="1" a="1"/>
  <c r="G807" i="1" s="1"/>
  <c r="G808" i="1" a="1"/>
  <c r="G808" i="1"/>
  <c r="G809" i="1" a="1"/>
  <c r="G809" i="1"/>
  <c r="G810" i="1" a="1"/>
  <c r="G810" i="1" s="1"/>
  <c r="G811" i="1" a="1"/>
  <c r="G811" i="1"/>
  <c r="G812" i="1" a="1"/>
  <c r="G812" i="1"/>
  <c r="G813" i="1" a="1"/>
  <c r="G813" i="1" s="1"/>
  <c r="G814" i="1" a="1"/>
  <c r="G814" i="1"/>
  <c r="G815" i="1" a="1"/>
  <c r="G815" i="1"/>
  <c r="G816" i="1" a="1"/>
  <c r="G816" i="1"/>
  <c r="G817" i="1" a="1"/>
  <c r="G817" i="1"/>
  <c r="G818" i="1" a="1"/>
  <c r="G818" i="1"/>
  <c r="G819" i="1" a="1"/>
  <c r="G819" i="1"/>
  <c r="G820" i="1" a="1"/>
  <c r="G820" i="1"/>
  <c r="G821" i="1" a="1"/>
  <c r="G821" i="1" s="1"/>
  <c r="G822" i="1" a="1"/>
  <c r="G822" i="1"/>
  <c r="G823" i="1" a="1"/>
  <c r="G823" i="1" s="1"/>
  <c r="G824" i="1" a="1"/>
  <c r="G824" i="1" s="1"/>
  <c r="G825" i="1" a="1"/>
  <c r="G825" i="1"/>
  <c r="G826" i="1" a="1"/>
  <c r="G826" i="1"/>
  <c r="G827" i="1" a="1"/>
  <c r="G827" i="1" s="1"/>
  <c r="G828" i="1" a="1"/>
  <c r="G828" i="1"/>
  <c r="G829" i="1" a="1"/>
  <c r="G829" i="1" s="1"/>
  <c r="G830" i="1" a="1"/>
  <c r="G830" i="1" s="1"/>
  <c r="G831" i="1" a="1"/>
  <c r="G831" i="1"/>
  <c r="G832" i="1" a="1"/>
  <c r="G832" i="1"/>
  <c r="G833" i="1" a="1"/>
  <c r="G833" i="1"/>
  <c r="G834" i="1" a="1"/>
  <c r="G834" i="1"/>
  <c r="G835" i="1" a="1"/>
  <c r="G835" i="1"/>
  <c r="G836" i="1" a="1"/>
  <c r="G836" i="1"/>
  <c r="G837" i="1" a="1"/>
  <c r="G837" i="1" s="1"/>
  <c r="G838" i="1" a="1"/>
  <c r="G838" i="1"/>
  <c r="G839" i="1" a="1"/>
  <c r="G839" i="1"/>
  <c r="G840" i="1" a="1"/>
  <c r="G840" i="1" s="1"/>
  <c r="G841" i="1" a="1"/>
  <c r="G841" i="1" s="1"/>
  <c r="G842" i="1" a="1"/>
  <c r="G842" i="1"/>
  <c r="G843" i="1" a="1"/>
  <c r="G843" i="1"/>
  <c r="G844" i="1" a="1"/>
  <c r="G844" i="1" s="1"/>
  <c r="G845" i="1" a="1"/>
  <c r="G845" i="1" s="1"/>
  <c r="G846" i="1" a="1"/>
  <c r="G846" i="1"/>
  <c r="G847" i="1" a="1"/>
  <c r="G847" i="1" s="1"/>
  <c r="G848" i="1" a="1"/>
  <c r="G848" i="1"/>
  <c r="G849" i="1" a="1"/>
  <c r="G849" i="1"/>
  <c r="G850" i="1" a="1"/>
  <c r="G850" i="1"/>
  <c r="G851" i="1" a="1"/>
  <c r="G851" i="1"/>
  <c r="G852" i="1" a="1"/>
  <c r="G852" i="1"/>
  <c r="G853" i="1" a="1"/>
  <c r="G853" i="1" s="1"/>
  <c r="G854" i="1" a="1"/>
  <c r="G854" i="1"/>
  <c r="G855" i="1" a="1"/>
  <c r="G855" i="1"/>
  <c r="G856" i="1" a="1"/>
  <c r="G856" i="1"/>
  <c r="G857" i="1" a="1"/>
  <c r="G857" i="1" s="1"/>
  <c r="G858" i="1" a="1"/>
  <c r="G858" i="1" s="1"/>
  <c r="G859" i="1" a="1"/>
  <c r="G859" i="1"/>
  <c r="G860" i="1" a="1"/>
  <c r="G860" i="1"/>
  <c r="G861" i="1" a="1"/>
  <c r="G861" i="1" s="1"/>
  <c r="G862" i="1" a="1"/>
  <c r="G862" i="1"/>
  <c r="G863" i="1" a="1"/>
  <c r="G863" i="1"/>
  <c r="G864" i="1" a="1"/>
  <c r="G864" i="1" s="1"/>
  <c r="G865" i="1" a="1"/>
  <c r="G865" i="1"/>
  <c r="G866" i="1" a="1"/>
  <c r="G866" i="1"/>
  <c r="G867" i="1" a="1"/>
  <c r="G867" i="1"/>
  <c r="G868" i="1" a="1"/>
  <c r="G868" i="1"/>
  <c r="G869" i="1" a="1"/>
  <c r="G869" i="1" s="1"/>
  <c r="G870" i="1" a="1"/>
  <c r="G870" i="1" s="1"/>
  <c r="G871" i="1" a="1"/>
  <c r="G871" i="1"/>
  <c r="G872" i="1" a="1"/>
  <c r="G872" i="1"/>
  <c r="G873" i="1" a="1"/>
  <c r="G873" i="1"/>
  <c r="G874" i="1" a="1"/>
  <c r="G874" i="1" s="1"/>
  <c r="G875" i="1" a="1"/>
  <c r="G875" i="1" s="1"/>
  <c r="G876" i="1" a="1"/>
  <c r="G876" i="1"/>
  <c r="G877" i="1" a="1"/>
  <c r="G877" i="1" s="1"/>
  <c r="G878" i="1" a="1"/>
  <c r="G878" i="1"/>
  <c r="G879" i="1" a="1"/>
  <c r="G879" i="1"/>
  <c r="G880" i="1" a="1"/>
  <c r="G880" i="1"/>
  <c r="G881" i="1" a="1"/>
  <c r="G881" i="1" s="1"/>
  <c r="G882" i="1" a="1"/>
  <c r="G882" i="1"/>
  <c r="G883" i="1" a="1"/>
  <c r="G883" i="1"/>
  <c r="G884" i="1" a="1"/>
  <c r="G884" i="1"/>
  <c r="G885" i="1" a="1"/>
  <c r="G885" i="1" s="1"/>
  <c r="G886" i="1" a="1"/>
  <c r="G886" i="1"/>
  <c r="G887" i="1" a="1"/>
  <c r="G887" i="1" s="1"/>
  <c r="G888" i="1" a="1"/>
  <c r="G888" i="1"/>
  <c r="G889" i="1" a="1"/>
  <c r="G889" i="1"/>
  <c r="G890" i="1" a="1"/>
  <c r="G890" i="1"/>
  <c r="G891" i="1" a="1"/>
  <c r="G891" i="1" s="1"/>
  <c r="G892" i="1" a="1"/>
  <c r="G892" i="1" s="1"/>
  <c r="G893" i="1" a="1"/>
  <c r="G893" i="1" s="1"/>
  <c r="G894" i="1" a="1"/>
  <c r="G894" i="1"/>
  <c r="G895" i="1" a="1"/>
  <c r="G895" i="1"/>
  <c r="G896" i="1" a="1"/>
  <c r="G896" i="1"/>
  <c r="G897" i="1" a="1"/>
  <c r="G897" i="1"/>
  <c r="G898" i="1" a="1"/>
  <c r="G898" i="1" s="1"/>
  <c r="G899" i="1" a="1"/>
  <c r="G899" i="1"/>
  <c r="G900" i="1" a="1"/>
  <c r="G900" i="1"/>
  <c r="G901" i="1" a="1"/>
  <c r="G901" i="1" s="1"/>
  <c r="G902" i="1" a="1"/>
  <c r="G902" i="1"/>
  <c r="G903" i="1" a="1"/>
  <c r="G903" i="1"/>
  <c r="G904" i="1" a="1"/>
  <c r="G904" i="1" s="1"/>
  <c r="G905" i="1" a="1"/>
  <c r="G905" i="1"/>
  <c r="G906" i="1" a="1"/>
  <c r="G906" i="1"/>
  <c r="G907" i="1" a="1"/>
  <c r="G907" i="1"/>
  <c r="G908" i="1" a="1"/>
  <c r="G908" i="1" s="1"/>
  <c r="G909" i="1" a="1"/>
  <c r="G909" i="1" s="1"/>
  <c r="G910" i="1" a="1"/>
  <c r="G910" i="1"/>
  <c r="G911" i="1" a="1"/>
  <c r="G911" i="1"/>
  <c r="G912" i="1" a="1"/>
  <c r="G912" i="1"/>
  <c r="G913" i="1" a="1"/>
  <c r="G913" i="1"/>
  <c r="G914" i="1" a="1"/>
  <c r="G914" i="1"/>
  <c r="G915" i="1" a="1"/>
  <c r="G915" i="1" s="1"/>
  <c r="G916" i="1" a="1"/>
  <c r="G916" i="1"/>
  <c r="G917" i="1" a="1"/>
  <c r="G917" i="1" s="1"/>
  <c r="G918" i="1" a="1"/>
  <c r="G918" i="1" s="1"/>
  <c r="G919" i="1" a="1"/>
  <c r="G919" i="1"/>
  <c r="G920" i="1" a="1"/>
  <c r="G920" i="1"/>
  <c r="G921" i="1" a="1"/>
  <c r="G921" i="1" s="1"/>
  <c r="G922" i="1" a="1"/>
  <c r="G922" i="1"/>
  <c r="G923" i="1" a="1"/>
  <c r="G923" i="1"/>
  <c r="G924" i="1" a="1"/>
  <c r="G924" i="1"/>
  <c r="G925" i="1" a="1"/>
  <c r="G925" i="1" s="1"/>
  <c r="G926" i="1" a="1"/>
  <c r="G926" i="1"/>
  <c r="G927" i="1" a="1"/>
  <c r="G927" i="1"/>
  <c r="G928" i="1" a="1"/>
  <c r="G928" i="1"/>
  <c r="G929" i="1" a="1"/>
  <c r="G929" i="1"/>
  <c r="G930" i="1" a="1"/>
  <c r="G930" i="1"/>
  <c r="G931" i="1" a="1"/>
  <c r="G931" i="1"/>
  <c r="G932" i="1" a="1"/>
  <c r="G932" i="1" s="1"/>
  <c r="G933" i="1" a="1"/>
  <c r="G933" i="1" s="1"/>
  <c r="G934" i="1" a="1"/>
  <c r="G934" i="1" s="1"/>
  <c r="G935" i="1" a="1"/>
  <c r="G935" i="1" s="1"/>
  <c r="G936" i="1" a="1"/>
  <c r="G936" i="1"/>
  <c r="G937" i="1" a="1"/>
  <c r="G937" i="1"/>
  <c r="G938" i="1" a="1"/>
  <c r="G938" i="1" s="1"/>
  <c r="G939" i="1" a="1"/>
  <c r="G939" i="1"/>
  <c r="G940" i="1" a="1"/>
  <c r="G940" i="1"/>
  <c r="G941" i="1" a="1"/>
  <c r="G941" i="1" s="1"/>
  <c r="G942" i="1" a="1"/>
  <c r="G942" i="1"/>
  <c r="G943" i="1" a="1"/>
  <c r="G943" i="1"/>
  <c r="G944" i="1" a="1"/>
  <c r="G944" i="1"/>
  <c r="G945" i="1" a="1"/>
  <c r="G945" i="1"/>
  <c r="G946" i="1" a="1"/>
  <c r="G946" i="1"/>
  <c r="G947" i="1" a="1"/>
  <c r="G947" i="1"/>
  <c r="G948" i="1" a="1"/>
  <c r="G948" i="1"/>
  <c r="G949" i="1" a="1"/>
  <c r="G949" i="1" s="1"/>
  <c r="G950" i="1" a="1"/>
  <c r="G950" i="1"/>
  <c r="G951" i="1" a="1"/>
  <c r="G951" i="1" s="1"/>
  <c r="G952" i="1" a="1"/>
  <c r="G952" i="1" s="1"/>
  <c r="G953" i="1" a="1"/>
  <c r="G953" i="1"/>
  <c r="G954" i="1" a="1"/>
  <c r="G954" i="1"/>
  <c r="G955" i="1" a="1"/>
  <c r="G955" i="1" s="1"/>
  <c r="G956" i="1" a="1"/>
  <c r="G956" i="1"/>
  <c r="G957" i="1" a="1"/>
  <c r="G957" i="1" s="1"/>
  <c r="G958" i="1" a="1"/>
  <c r="G958" i="1" s="1"/>
  <c r="G959" i="1" a="1"/>
  <c r="G959" i="1"/>
  <c r="G960" i="1" a="1"/>
  <c r="G960" i="1"/>
  <c r="G961" i="1" a="1"/>
  <c r="G961" i="1"/>
  <c r="G962" i="1" a="1"/>
  <c r="G962" i="1"/>
  <c r="G963" i="1" a="1"/>
  <c r="G963" i="1"/>
  <c r="G964" i="1" a="1"/>
  <c r="G964" i="1"/>
  <c r="G965" i="1" a="1"/>
  <c r="G965" i="1" s="1"/>
  <c r="G966" i="1" a="1"/>
  <c r="G966" i="1"/>
  <c r="G967" i="1" a="1"/>
  <c r="G967" i="1"/>
  <c r="G968" i="1" a="1"/>
  <c r="G968" i="1" s="1"/>
  <c r="G969" i="1" a="1"/>
  <c r="G969" i="1" s="1"/>
  <c r="G970" i="1" a="1"/>
  <c r="G970" i="1"/>
  <c r="G971" i="1" a="1"/>
  <c r="G971" i="1"/>
  <c r="G972" i="1" a="1"/>
  <c r="G972" i="1" s="1"/>
  <c r="G973" i="1" a="1"/>
  <c r="G973" i="1" s="1"/>
  <c r="G974" i="1" a="1"/>
  <c r="G974" i="1"/>
  <c r="G975" i="1" a="1"/>
  <c r="G975" i="1" s="1"/>
  <c r="G976" i="1" a="1"/>
  <c r="G976" i="1"/>
  <c r="G977" i="1" a="1"/>
  <c r="G977" i="1"/>
  <c r="G978" i="1" a="1"/>
  <c r="G978" i="1"/>
  <c r="G979" i="1" a="1"/>
  <c r="G979" i="1"/>
  <c r="G980" i="1" a="1"/>
  <c r="G980" i="1"/>
  <c r="G981" i="1" a="1"/>
  <c r="G981" i="1" s="1"/>
  <c r="G982" i="1" a="1"/>
  <c r="G982" i="1"/>
  <c r="G983" i="1" a="1"/>
  <c r="G983" i="1"/>
  <c r="G984" i="1" a="1"/>
  <c r="G984" i="1"/>
  <c r="G985" i="1" a="1"/>
  <c r="G985" i="1" s="1"/>
  <c r="G986" i="1" a="1"/>
  <c r="G986" i="1" s="1"/>
  <c r="G987" i="1" a="1"/>
  <c r="G987" i="1"/>
  <c r="G988" i="1" a="1"/>
  <c r="G988" i="1"/>
  <c r="G989" i="1" a="1"/>
  <c r="G989" i="1" s="1"/>
  <c r="G990" i="1" a="1"/>
  <c r="G990" i="1"/>
  <c r="G991" i="1" a="1"/>
  <c r="G991" i="1"/>
  <c r="G992" i="1" a="1"/>
  <c r="G992" i="1" s="1"/>
  <c r="G993" i="1" a="1"/>
  <c r="G993" i="1"/>
  <c r="G994" i="1" a="1"/>
  <c r="G994" i="1"/>
  <c r="G995" i="1" a="1"/>
  <c r="G995" i="1"/>
  <c r="G996" i="1" a="1"/>
  <c r="G996" i="1"/>
  <c r="G997" i="1" a="1"/>
  <c r="G997" i="1" s="1"/>
  <c r="G998" i="1" a="1"/>
  <c r="G998" i="1" s="1"/>
  <c r="G999" i="1" a="1"/>
  <c r="G999" i="1"/>
  <c r="G1000" i="1" a="1"/>
  <c r="G1000" i="1"/>
  <c r="G1001" i="1" a="1"/>
  <c r="G1001" i="1"/>
  <c r="G2" i="1" a="1"/>
  <c r="G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<sst xmlns="http://schemas.openxmlformats.org/spreadsheetml/2006/main" count="8024" uniqueCount="51">
  <si>
    <t>Campaign</t>
  </si>
  <si>
    <t>Channel</t>
  </si>
  <si>
    <t>Objective</t>
  </si>
  <si>
    <t>AB_Test_Version</t>
  </si>
  <si>
    <t>Region</t>
  </si>
  <si>
    <t>Device</t>
  </si>
  <si>
    <t>Customer_Segment</t>
  </si>
  <si>
    <t>Impressions</t>
  </si>
  <si>
    <t>Clicks</t>
  </si>
  <si>
    <t>Conversions</t>
  </si>
  <si>
    <t>Cost</t>
  </si>
  <si>
    <t>Revenue</t>
  </si>
  <si>
    <t>Likes</t>
  </si>
  <si>
    <t>Shares</t>
  </si>
  <si>
    <t>Saves</t>
  </si>
  <si>
    <t>Email_Opens</t>
  </si>
  <si>
    <t>Retention_After_Campaign</t>
  </si>
  <si>
    <t>Mega Savings</t>
  </si>
  <si>
    <t>Google Ads</t>
  </si>
  <si>
    <t>Consideration</t>
  </si>
  <si>
    <t>B</t>
  </si>
  <si>
    <t>Female</t>
  </si>
  <si>
    <t>North</t>
  </si>
  <si>
    <t>Mobile</t>
  </si>
  <si>
    <t>Loyal</t>
  </si>
  <si>
    <t>Winter Blast</t>
  </si>
  <si>
    <t>Instagram</t>
  </si>
  <si>
    <t>Retention</t>
  </si>
  <si>
    <t>A</t>
  </si>
  <si>
    <t>Male</t>
  </si>
  <si>
    <t>Tablet</t>
  </si>
  <si>
    <t>New</t>
  </si>
  <si>
    <t>Awareness</t>
  </si>
  <si>
    <t>South</t>
  </si>
  <si>
    <t>Festive Rush</t>
  </si>
  <si>
    <t>YouTube</t>
  </si>
  <si>
    <t>Conversion</t>
  </si>
  <si>
    <t>West</t>
  </si>
  <si>
    <t>Desktop</t>
  </si>
  <si>
    <t>Returning</t>
  </si>
  <si>
    <t>New Year Sale</t>
  </si>
  <si>
    <t>Email</t>
  </si>
  <si>
    <t>Other</t>
  </si>
  <si>
    <t>East</t>
  </si>
  <si>
    <t>Data</t>
  </si>
  <si>
    <t>Gender</t>
  </si>
  <si>
    <t>age</t>
  </si>
  <si>
    <t xml:space="preserve">CTR </t>
  </si>
  <si>
    <t>Conversion Rate</t>
  </si>
  <si>
    <t>ROI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</si>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</sst>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9" fontId="0" fillId="0" borderId="10" xfId="2" applyFont="1" applyBorder="1"/>
    <xf numFmtId="43" fontId="0" fillId="0" borderId="10" xfId="1" applyFont="1" applyBorder="1"/>
    <xf numFmtId="2" fontId="0" fillId="0" borderId="10" xfId="2" applyNumberFormat="1" applyFont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097F-971C-4A78-8D88-9930337B6CBC}">
  <dimension ref="A1:X1001"/>
  <sheetViews>
    <sheetView tabSelected="1" topLeftCell="D1" workbookViewId="0">
      <selection activeCell="H1" sqref="H1"/>
    </sheetView>
  </sheetViews>
  <sheetFormatPr defaultRowHeight="14.4" x14ac:dyDescent="0.3"/>
  <cols>
    <col min="1" max="1" width="19.77734375" customWidth="1"/>
    <col min="2" max="2" width="19.44140625" customWidth="1"/>
    <col min="4" max="4" width="18.44140625" customWidth="1"/>
    <col min="7" max="7" width="28.5546875" customWidth="1"/>
    <col min="8" max="8" width="12.6640625" customWidth="1"/>
    <col min="12" max="12" width="14.77734375" customWidth="1"/>
    <col min="15" max="15" width="17.21875" customWidth="1"/>
    <col min="16" max="16" width="16.6640625" customWidth="1"/>
    <col min="19" max="19" width="15.109375" customWidth="1"/>
    <col min="23" max="23" width="16.88671875" customWidth="1"/>
  </cols>
  <sheetData>
    <row r="1" spans="1:24" x14ac:dyDescent="0.3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46</v>
      </c>
      <c r="G1" s="1" t="s">
        <v>50</v>
      </c>
      <c r="H1" s="1" t="s">
        <v>45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47</v>
      </c>
      <c r="N1" s="1" t="s">
        <v>8</v>
      </c>
      <c r="O1" s="1" t="s">
        <v>48</v>
      </c>
      <c r="P1" s="1" t="s">
        <v>9</v>
      </c>
      <c r="Q1" s="1" t="s">
        <v>10</v>
      </c>
      <c r="R1" s="1" t="s">
        <v>11</v>
      </c>
      <c r="S1" s="1" t="s">
        <v>49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</row>
    <row r="2" spans="1:24" x14ac:dyDescent="0.3">
      <c r="A2" s="2">
        <v>45341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56</v>
      </c>
      <c r="G2" s="1" t="str" cm="1">
        <f t="array" ref="G2">_xlfn.IFS(F2&lt;=25,"YOUTH",F2&lt;=48,"ADULT",TRUE,"SENIOR")</f>
        <v>SENIOR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42876</v>
      </c>
      <c r="M2" s="3">
        <f>(N2/L2)</f>
        <v>5.0797649034424852E-2</v>
      </c>
      <c r="N2" s="1">
        <v>2178</v>
      </c>
      <c r="O2" s="4">
        <f>(N2/P2)</f>
        <v>23.934065934065934</v>
      </c>
      <c r="P2" s="1">
        <v>91</v>
      </c>
      <c r="Q2" s="1">
        <v>2623.5756945137</v>
      </c>
      <c r="R2" s="1">
        <v>3034.1859629300998</v>
      </c>
      <c r="S2" s="5">
        <f>(R2-Q2/Q2)</f>
        <v>3033.1859629300998</v>
      </c>
      <c r="T2" s="1">
        <v>644</v>
      </c>
      <c r="U2" s="1">
        <v>76</v>
      </c>
      <c r="V2" s="1">
        <v>40</v>
      </c>
      <c r="W2" s="1">
        <v>6674</v>
      </c>
      <c r="X2" s="1">
        <v>0.83498891875227299</v>
      </c>
    </row>
    <row r="3" spans="1:24" x14ac:dyDescent="0.3">
      <c r="A3" s="2">
        <v>45329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46</v>
      </c>
      <c r="G3" s="1" t="str" cm="1">
        <f t="array" ref="G3">_xlfn.IFS(F3&lt;=25,"YOUTH",F3&lt;=48,"ADULT",TRUE,"SENIOR")</f>
        <v>ADULT</v>
      </c>
      <c r="H3" s="1" t="s">
        <v>29</v>
      </c>
      <c r="I3" s="1" t="s">
        <v>22</v>
      </c>
      <c r="J3" s="1" t="s">
        <v>30</v>
      </c>
      <c r="K3" s="1" t="s">
        <v>31</v>
      </c>
      <c r="L3" s="1">
        <v>30388</v>
      </c>
      <c r="M3" s="3">
        <f t="shared" ref="M3:M66" si="0">(N3/L3)</f>
        <v>5.7061998157167303E-2</v>
      </c>
      <c r="N3" s="1">
        <v>1734</v>
      </c>
      <c r="O3" s="4">
        <f t="shared" ref="O3:O66" si="1">(N3/P3)</f>
        <v>40.325581395348834</v>
      </c>
      <c r="P3" s="1">
        <v>43</v>
      </c>
      <c r="Q3" s="1">
        <v>3472.1968807213898</v>
      </c>
      <c r="R3" s="1">
        <v>1956.6968917039901</v>
      </c>
      <c r="S3" s="5">
        <f t="shared" ref="S3:S66" si="2">(R3-Q3/Q3)</f>
        <v>1955.6968917039901</v>
      </c>
      <c r="T3" s="1">
        <v>782</v>
      </c>
      <c r="U3" s="1">
        <v>63</v>
      </c>
      <c r="V3" s="1">
        <v>44</v>
      </c>
      <c r="W3" s="1">
        <v>4176</v>
      </c>
      <c r="X3" s="1">
        <v>0.70985842702408797</v>
      </c>
    </row>
    <row r="4" spans="1:24" x14ac:dyDescent="0.3">
      <c r="A4" s="2">
        <v>45318</v>
      </c>
      <c r="B4" s="1" t="s">
        <v>25</v>
      </c>
      <c r="C4" s="1" t="s">
        <v>26</v>
      </c>
      <c r="D4" s="1" t="s">
        <v>32</v>
      </c>
      <c r="E4" s="1" t="s">
        <v>20</v>
      </c>
      <c r="F4" s="1">
        <v>32</v>
      </c>
      <c r="G4" s="1" t="str" cm="1">
        <f t="array" ref="G4">_xlfn.IFS(F4&lt;=25,"YOUTH",F4&lt;=48,"ADULT",TRUE,"SENIOR")</f>
        <v>ADULT</v>
      </c>
      <c r="H4" s="1" t="s">
        <v>21</v>
      </c>
      <c r="I4" s="1" t="s">
        <v>33</v>
      </c>
      <c r="J4" s="1" t="s">
        <v>23</v>
      </c>
      <c r="K4" s="1" t="s">
        <v>31</v>
      </c>
      <c r="L4" s="1">
        <v>7458</v>
      </c>
      <c r="M4" s="3">
        <f t="shared" si="0"/>
        <v>5.3097345132743362E-2</v>
      </c>
      <c r="N4" s="1">
        <v>396</v>
      </c>
      <c r="O4" s="4">
        <f t="shared" si="1"/>
        <v>33</v>
      </c>
      <c r="P4" s="1">
        <v>12</v>
      </c>
      <c r="Q4" s="1">
        <v>266.47411459364798</v>
      </c>
      <c r="R4" s="1">
        <v>715.63161830000001</v>
      </c>
      <c r="S4" s="5">
        <f t="shared" si="2"/>
        <v>714.63161830000001</v>
      </c>
      <c r="T4" s="1">
        <v>66</v>
      </c>
      <c r="U4" s="1">
        <v>5</v>
      </c>
      <c r="V4" s="1">
        <v>6</v>
      </c>
      <c r="W4" s="1">
        <v>144</v>
      </c>
      <c r="X4" s="1">
        <v>0.44191752662910899</v>
      </c>
    </row>
    <row r="5" spans="1:24" x14ac:dyDescent="0.3">
      <c r="A5" s="2">
        <v>45343</v>
      </c>
      <c r="B5" s="1" t="s">
        <v>34</v>
      </c>
      <c r="C5" s="1" t="s">
        <v>35</v>
      </c>
      <c r="D5" s="1" t="s">
        <v>36</v>
      </c>
      <c r="E5" s="1" t="s">
        <v>28</v>
      </c>
      <c r="F5" s="1">
        <v>25</v>
      </c>
      <c r="G5" s="1" t="str" cm="1">
        <f t="array" ref="G5">_xlfn.IFS(F5&lt;=25,"YOUTH",F5&lt;=48,"ADULT",TRUE,"SENIOR")</f>
        <v>YOUTH</v>
      </c>
      <c r="H5" s="1" t="s">
        <v>29</v>
      </c>
      <c r="I5" s="1" t="s">
        <v>37</v>
      </c>
      <c r="J5" s="1" t="s">
        <v>23</v>
      </c>
      <c r="K5" s="1" t="s">
        <v>31</v>
      </c>
      <c r="L5" s="1">
        <v>36524</v>
      </c>
      <c r="M5" s="3">
        <f t="shared" si="0"/>
        <v>1.2786113240608915E-2</v>
      </c>
      <c r="N5" s="1">
        <v>467</v>
      </c>
      <c r="O5" s="4">
        <f t="shared" si="1"/>
        <v>33.357142857142854</v>
      </c>
      <c r="P5" s="1">
        <v>14</v>
      </c>
      <c r="Q5" s="1">
        <v>1531.4956442293201</v>
      </c>
      <c r="R5" s="1">
        <v>691.20684288674897</v>
      </c>
      <c r="S5" s="5">
        <f t="shared" si="2"/>
        <v>690.20684288674897</v>
      </c>
      <c r="T5" s="1">
        <v>933</v>
      </c>
      <c r="U5" s="1">
        <v>166</v>
      </c>
      <c r="V5" s="1">
        <v>47</v>
      </c>
      <c r="W5" s="1">
        <v>4140</v>
      </c>
      <c r="X5" s="1">
        <v>0.75899789175562005</v>
      </c>
    </row>
    <row r="6" spans="1:24" x14ac:dyDescent="0.3">
      <c r="A6" s="2">
        <v>45324</v>
      </c>
      <c r="B6" s="1" t="s">
        <v>34</v>
      </c>
      <c r="C6" s="1" t="s">
        <v>18</v>
      </c>
      <c r="D6" s="1" t="s">
        <v>32</v>
      </c>
      <c r="E6" s="1" t="s">
        <v>28</v>
      </c>
      <c r="F6" s="1">
        <v>38</v>
      </c>
      <c r="G6" s="1" t="str" cm="1">
        <f t="array" ref="G6">_xlfn.IFS(F6&lt;=25,"YOUTH",F6&lt;=48,"ADULT",TRUE,"SENIOR")</f>
        <v>ADULT</v>
      </c>
      <c r="H6" s="1" t="s">
        <v>21</v>
      </c>
      <c r="I6" s="1" t="s">
        <v>37</v>
      </c>
      <c r="J6" s="1" t="s">
        <v>38</v>
      </c>
      <c r="K6" s="1" t="s">
        <v>39</v>
      </c>
      <c r="L6" s="1">
        <v>7853</v>
      </c>
      <c r="M6" s="3">
        <f t="shared" si="0"/>
        <v>9.1557366611486057E-2</v>
      </c>
      <c r="N6" s="1">
        <v>719</v>
      </c>
      <c r="O6" s="4">
        <f t="shared" si="1"/>
        <v>4.3841463414634143</v>
      </c>
      <c r="P6" s="1">
        <v>164</v>
      </c>
      <c r="Q6" s="1">
        <v>479.452615522028</v>
      </c>
      <c r="R6" s="1">
        <v>3041.12601153797</v>
      </c>
      <c r="S6" s="5">
        <f t="shared" si="2"/>
        <v>3040.12601153797</v>
      </c>
      <c r="T6" s="1">
        <v>145</v>
      </c>
      <c r="U6" s="1">
        <v>21</v>
      </c>
      <c r="V6" s="1">
        <v>7</v>
      </c>
      <c r="W6" s="1">
        <v>847</v>
      </c>
      <c r="X6" s="1">
        <v>0.68960555627731801</v>
      </c>
    </row>
    <row r="7" spans="1:24" x14ac:dyDescent="0.3">
      <c r="A7" s="2">
        <v>45292</v>
      </c>
      <c r="B7" s="1" t="s">
        <v>17</v>
      </c>
      <c r="C7" s="1" t="s">
        <v>35</v>
      </c>
      <c r="D7" s="1" t="s">
        <v>36</v>
      </c>
      <c r="E7" s="1" t="s">
        <v>28</v>
      </c>
      <c r="F7" s="1">
        <v>56</v>
      </c>
      <c r="G7" s="1" t="str" cm="1">
        <f t="array" ref="G7">_xlfn.IFS(F7&lt;=25,"YOUTH",F7&lt;=48,"ADULT",TRUE,"SENIOR")</f>
        <v>SENIOR</v>
      </c>
      <c r="H7" s="1" t="s">
        <v>21</v>
      </c>
      <c r="I7" s="1" t="s">
        <v>22</v>
      </c>
      <c r="J7" s="1" t="s">
        <v>23</v>
      </c>
      <c r="K7" s="1" t="s">
        <v>39</v>
      </c>
      <c r="L7" s="1">
        <v>41477</v>
      </c>
      <c r="M7" s="3">
        <f t="shared" si="0"/>
        <v>0.10781879113725679</v>
      </c>
      <c r="N7" s="1">
        <v>4472</v>
      </c>
      <c r="O7" s="4">
        <f t="shared" si="1"/>
        <v>5.3814681107099878</v>
      </c>
      <c r="P7" s="1">
        <v>831</v>
      </c>
      <c r="Q7" s="1">
        <v>4031.71329400278</v>
      </c>
      <c r="R7" s="1">
        <v>29097.526340895001</v>
      </c>
      <c r="S7" s="5">
        <f t="shared" si="2"/>
        <v>29096.526340895001</v>
      </c>
      <c r="T7" s="1">
        <v>438</v>
      </c>
      <c r="U7" s="1">
        <v>57</v>
      </c>
      <c r="V7" s="1">
        <v>26</v>
      </c>
      <c r="W7" s="1">
        <v>5864</v>
      </c>
      <c r="X7" s="1">
        <v>0.50129925381654405</v>
      </c>
    </row>
    <row r="8" spans="1:24" x14ac:dyDescent="0.3">
      <c r="A8" s="2">
        <v>45335</v>
      </c>
      <c r="B8" s="1" t="s">
        <v>25</v>
      </c>
      <c r="C8" s="1" t="s">
        <v>26</v>
      </c>
      <c r="D8" s="1" t="s">
        <v>27</v>
      </c>
      <c r="E8" s="1" t="s">
        <v>28</v>
      </c>
      <c r="F8" s="1">
        <v>36</v>
      </c>
      <c r="G8" s="1" t="str" cm="1">
        <f t="array" ref="G8">_xlfn.IFS(F8&lt;=25,"YOUTH",F8&lt;=48,"ADULT",TRUE,"SENIOR")</f>
        <v>ADULT</v>
      </c>
      <c r="H8" s="1" t="s">
        <v>21</v>
      </c>
      <c r="I8" s="1" t="s">
        <v>22</v>
      </c>
      <c r="J8" s="1" t="s">
        <v>23</v>
      </c>
      <c r="K8" s="1" t="s">
        <v>24</v>
      </c>
      <c r="L8" s="1">
        <v>33222</v>
      </c>
      <c r="M8" s="3">
        <f t="shared" si="0"/>
        <v>0.12952260550237793</v>
      </c>
      <c r="N8" s="1">
        <v>4303</v>
      </c>
      <c r="O8" s="4">
        <f t="shared" si="1"/>
        <v>5.6917989417989414</v>
      </c>
      <c r="P8" s="1">
        <v>756</v>
      </c>
      <c r="Q8" s="1">
        <v>3452.3137341745301</v>
      </c>
      <c r="R8" s="1">
        <v>48514.419457607299</v>
      </c>
      <c r="S8" s="5">
        <f t="shared" si="2"/>
        <v>48513.419457607299</v>
      </c>
      <c r="T8" s="1">
        <v>504</v>
      </c>
      <c r="U8" s="1">
        <v>55</v>
      </c>
      <c r="V8" s="1">
        <v>17</v>
      </c>
      <c r="W8" s="1">
        <v>821</v>
      </c>
      <c r="X8" s="1">
        <v>0.88523921783842796</v>
      </c>
    </row>
    <row r="9" spans="1:24" x14ac:dyDescent="0.3">
      <c r="A9" s="2">
        <v>45344</v>
      </c>
      <c r="B9" s="1" t="s">
        <v>40</v>
      </c>
      <c r="C9" s="1" t="s">
        <v>41</v>
      </c>
      <c r="D9" s="1" t="s">
        <v>36</v>
      </c>
      <c r="E9" s="1" t="s">
        <v>20</v>
      </c>
      <c r="F9" s="1">
        <v>40</v>
      </c>
      <c r="G9" s="1" t="str" cm="1">
        <f t="array" ref="G9">_xlfn.IFS(F9&lt;=25,"YOUTH",F9&lt;=48,"ADULT",TRUE,"SENIOR")</f>
        <v>ADULT</v>
      </c>
      <c r="H9" s="1" t="s">
        <v>21</v>
      </c>
      <c r="I9" s="1" t="s">
        <v>33</v>
      </c>
      <c r="J9" s="1" t="s">
        <v>23</v>
      </c>
      <c r="K9" s="1" t="s">
        <v>31</v>
      </c>
      <c r="L9" s="1">
        <v>19320</v>
      </c>
      <c r="M9" s="3">
        <f t="shared" si="0"/>
        <v>2.9606625258799171E-2</v>
      </c>
      <c r="N9" s="1">
        <v>572</v>
      </c>
      <c r="O9" s="4">
        <f t="shared" si="1"/>
        <v>7.15</v>
      </c>
      <c r="P9" s="1">
        <v>80</v>
      </c>
      <c r="Q9" s="1">
        <v>1381.8881615135001</v>
      </c>
      <c r="R9" s="1">
        <v>2099.0535248823298</v>
      </c>
      <c r="S9" s="5">
        <f t="shared" si="2"/>
        <v>2098.0535248823298</v>
      </c>
      <c r="T9" s="1">
        <v>573</v>
      </c>
      <c r="U9" s="1">
        <v>65</v>
      </c>
      <c r="V9" s="1">
        <v>51</v>
      </c>
      <c r="W9" s="1">
        <v>3149</v>
      </c>
      <c r="X9" s="1">
        <v>0.58878672719430802</v>
      </c>
    </row>
    <row r="10" spans="1:24" x14ac:dyDescent="0.3">
      <c r="A10" s="2">
        <v>45351</v>
      </c>
      <c r="B10" s="1" t="s">
        <v>34</v>
      </c>
      <c r="C10" s="1" t="s">
        <v>35</v>
      </c>
      <c r="D10" s="1" t="s">
        <v>36</v>
      </c>
      <c r="E10" s="1" t="s">
        <v>20</v>
      </c>
      <c r="F10" s="1">
        <v>28</v>
      </c>
      <c r="G10" s="1" t="str" cm="1">
        <f t="array" ref="G10">_xlfn.IFS(F10&lt;=25,"YOUTH",F10&lt;=48,"ADULT",TRUE,"SENIOR")</f>
        <v>ADULT</v>
      </c>
      <c r="H10" s="1" t="s">
        <v>21</v>
      </c>
      <c r="I10" s="1" t="s">
        <v>33</v>
      </c>
      <c r="J10" s="1" t="s">
        <v>38</v>
      </c>
      <c r="K10" s="1" t="s">
        <v>31</v>
      </c>
      <c r="L10" s="1">
        <v>29618</v>
      </c>
      <c r="M10" s="3">
        <f t="shared" si="0"/>
        <v>8.6163819299074892E-2</v>
      </c>
      <c r="N10" s="1">
        <v>2552</v>
      </c>
      <c r="O10" s="4">
        <f t="shared" si="1"/>
        <v>5.003921568627451</v>
      </c>
      <c r="P10" s="1">
        <v>510</v>
      </c>
      <c r="Q10" s="1">
        <v>892.06720478753596</v>
      </c>
      <c r="R10" s="1">
        <v>19082.9116027975</v>
      </c>
      <c r="S10" s="5">
        <f t="shared" si="2"/>
        <v>19081.9116027975</v>
      </c>
      <c r="T10" s="1">
        <v>728</v>
      </c>
      <c r="U10" s="1">
        <v>42</v>
      </c>
      <c r="V10" s="1">
        <v>47</v>
      </c>
      <c r="W10" s="1">
        <v>1080</v>
      </c>
      <c r="X10" s="1">
        <v>0.61311394143451303</v>
      </c>
    </row>
    <row r="11" spans="1:24" x14ac:dyDescent="0.3">
      <c r="A11" s="2">
        <v>45325</v>
      </c>
      <c r="B11" s="1" t="s">
        <v>40</v>
      </c>
      <c r="C11" s="1" t="s">
        <v>41</v>
      </c>
      <c r="D11" s="1" t="s">
        <v>36</v>
      </c>
      <c r="E11" s="1" t="s">
        <v>20</v>
      </c>
      <c r="F11" s="1">
        <v>28</v>
      </c>
      <c r="G11" s="1" t="str" cm="1">
        <f t="array" ref="G11">_xlfn.IFS(F11&lt;=25,"YOUTH",F11&lt;=48,"ADULT",TRUE,"SENIOR")</f>
        <v>ADULT</v>
      </c>
      <c r="H11" s="1" t="s">
        <v>42</v>
      </c>
      <c r="I11" s="1" t="s">
        <v>33</v>
      </c>
      <c r="J11" s="1" t="s">
        <v>23</v>
      </c>
      <c r="K11" s="1" t="s">
        <v>31</v>
      </c>
      <c r="L11" s="1">
        <v>46615</v>
      </c>
      <c r="M11" s="3">
        <f t="shared" si="0"/>
        <v>1.111230290678966E-2</v>
      </c>
      <c r="N11" s="1">
        <v>518</v>
      </c>
      <c r="O11" s="4">
        <f t="shared" si="1"/>
        <v>18.5</v>
      </c>
      <c r="P11" s="1">
        <v>28</v>
      </c>
      <c r="Q11" s="1">
        <v>3196.5073099493002</v>
      </c>
      <c r="R11" s="1">
        <v>1884.58890905152</v>
      </c>
      <c r="S11" s="5">
        <f t="shared" si="2"/>
        <v>1883.58890905152</v>
      </c>
      <c r="T11" s="1">
        <v>903</v>
      </c>
      <c r="U11" s="1">
        <v>106</v>
      </c>
      <c r="V11" s="1">
        <v>31</v>
      </c>
      <c r="W11" s="1">
        <v>4174</v>
      </c>
      <c r="X11" s="1">
        <v>0.76982085183802496</v>
      </c>
    </row>
    <row r="12" spans="1:24" x14ac:dyDescent="0.3">
      <c r="A12" s="2">
        <v>45295</v>
      </c>
      <c r="B12" s="1" t="s">
        <v>34</v>
      </c>
      <c r="C12" s="1" t="s">
        <v>41</v>
      </c>
      <c r="D12" s="1" t="s">
        <v>32</v>
      </c>
      <c r="E12" s="1" t="s">
        <v>20</v>
      </c>
      <c r="F12" s="1">
        <v>41</v>
      </c>
      <c r="G12" s="1" t="str" cm="1">
        <f t="array" ref="G12">_xlfn.IFS(F12&lt;=25,"YOUTH",F12&lt;=48,"ADULT",TRUE,"SENIOR")</f>
        <v>ADULT</v>
      </c>
      <c r="H12" s="1" t="s">
        <v>29</v>
      </c>
      <c r="I12" s="1" t="s">
        <v>37</v>
      </c>
      <c r="J12" s="1" t="s">
        <v>23</v>
      </c>
      <c r="K12" s="1" t="s">
        <v>31</v>
      </c>
      <c r="L12" s="1">
        <v>18352</v>
      </c>
      <c r="M12" s="3">
        <f t="shared" si="0"/>
        <v>2.3267218831734961E-2</v>
      </c>
      <c r="N12" s="1">
        <v>427</v>
      </c>
      <c r="O12" s="4">
        <f t="shared" si="1"/>
        <v>9.085106382978724</v>
      </c>
      <c r="P12" s="1">
        <v>47</v>
      </c>
      <c r="Q12" s="1">
        <v>2010.2739888747001</v>
      </c>
      <c r="R12" s="1">
        <v>2479.5329570276399</v>
      </c>
      <c r="S12" s="5">
        <f t="shared" si="2"/>
        <v>2478.5329570276399</v>
      </c>
      <c r="T12" s="1">
        <v>144</v>
      </c>
      <c r="U12" s="1">
        <v>24</v>
      </c>
      <c r="V12" s="1">
        <v>12</v>
      </c>
      <c r="W12" s="1">
        <v>3256</v>
      </c>
      <c r="X12" s="1">
        <v>0.668839308122682</v>
      </c>
    </row>
    <row r="13" spans="1:24" x14ac:dyDescent="0.3">
      <c r="A13" s="2">
        <v>45308</v>
      </c>
      <c r="B13" s="1" t="s">
        <v>34</v>
      </c>
      <c r="C13" s="1" t="s">
        <v>18</v>
      </c>
      <c r="D13" s="1" t="s">
        <v>19</v>
      </c>
      <c r="E13" s="1" t="s">
        <v>28</v>
      </c>
      <c r="F13" s="1">
        <v>53</v>
      </c>
      <c r="G13" s="1" t="str" cm="1">
        <f t="array" ref="G13">_xlfn.IFS(F13&lt;=25,"YOUTH",F13&lt;=48,"ADULT",TRUE,"SENIOR")</f>
        <v>SENIOR</v>
      </c>
      <c r="H13" s="1" t="s">
        <v>29</v>
      </c>
      <c r="I13" s="1" t="s">
        <v>37</v>
      </c>
      <c r="J13" s="1" t="s">
        <v>23</v>
      </c>
      <c r="K13" s="1" t="s">
        <v>39</v>
      </c>
      <c r="L13" s="1">
        <v>8297</v>
      </c>
      <c r="M13" s="3">
        <f t="shared" si="0"/>
        <v>1.7476196215499579E-2</v>
      </c>
      <c r="N13" s="1">
        <v>145</v>
      </c>
      <c r="O13" s="4">
        <f t="shared" si="1"/>
        <v>7.6315789473684212</v>
      </c>
      <c r="P13" s="1">
        <v>19</v>
      </c>
      <c r="Q13" s="1">
        <v>889.68241432977004</v>
      </c>
      <c r="R13" s="1">
        <v>1018.45937626748</v>
      </c>
      <c r="S13" s="5">
        <f t="shared" si="2"/>
        <v>1017.45937626748</v>
      </c>
      <c r="T13" s="1">
        <v>128</v>
      </c>
      <c r="U13" s="1">
        <v>13</v>
      </c>
      <c r="V13" s="1">
        <v>2</v>
      </c>
      <c r="W13" s="1">
        <v>966</v>
      </c>
      <c r="X13" s="1">
        <v>0.44910459195353197</v>
      </c>
    </row>
    <row r="14" spans="1:24" x14ac:dyDescent="0.3">
      <c r="A14" s="2">
        <v>45295</v>
      </c>
      <c r="B14" s="1" t="s">
        <v>25</v>
      </c>
      <c r="C14" s="1" t="s">
        <v>35</v>
      </c>
      <c r="D14" s="1" t="s">
        <v>32</v>
      </c>
      <c r="E14" s="1" t="s">
        <v>28</v>
      </c>
      <c r="F14" s="1">
        <v>57</v>
      </c>
      <c r="G14" s="1" t="str" cm="1">
        <f t="array" ref="G14">_xlfn.IFS(F14&lt;=25,"YOUTH",F14&lt;=48,"ADULT",TRUE,"SENIOR")</f>
        <v>SENIOR</v>
      </c>
      <c r="H14" s="1" t="s">
        <v>29</v>
      </c>
      <c r="I14" s="1" t="s">
        <v>37</v>
      </c>
      <c r="J14" s="1" t="s">
        <v>23</v>
      </c>
      <c r="K14" s="1" t="s">
        <v>31</v>
      </c>
      <c r="L14" s="1">
        <v>28940</v>
      </c>
      <c r="M14" s="3">
        <f t="shared" si="0"/>
        <v>0.1115411195577056</v>
      </c>
      <c r="N14" s="1">
        <v>3228</v>
      </c>
      <c r="O14" s="4">
        <f t="shared" si="1"/>
        <v>22.109589041095891</v>
      </c>
      <c r="P14" s="1">
        <v>146</v>
      </c>
      <c r="Q14" s="1">
        <v>1181.4909457615099</v>
      </c>
      <c r="R14" s="1">
        <v>3124.6497018815298</v>
      </c>
      <c r="S14" s="5">
        <f t="shared" si="2"/>
        <v>3123.6497018815298</v>
      </c>
      <c r="T14" s="1">
        <v>335</v>
      </c>
      <c r="U14" s="1">
        <v>36</v>
      </c>
      <c r="V14" s="1">
        <v>33</v>
      </c>
      <c r="W14" s="1">
        <v>2376</v>
      </c>
      <c r="X14" s="1">
        <v>0.61309288954537899</v>
      </c>
    </row>
    <row r="15" spans="1:24" x14ac:dyDescent="0.3">
      <c r="A15" s="2">
        <v>45334</v>
      </c>
      <c r="B15" s="1" t="s">
        <v>34</v>
      </c>
      <c r="C15" s="1" t="s">
        <v>41</v>
      </c>
      <c r="D15" s="1" t="s">
        <v>19</v>
      </c>
      <c r="E15" s="1" t="s">
        <v>28</v>
      </c>
      <c r="F15" s="1">
        <v>41</v>
      </c>
      <c r="G15" s="1" t="str" cm="1">
        <f t="array" ref="G15">_xlfn.IFS(F15&lt;=25,"YOUTH",F15&lt;=48,"ADULT",TRUE,"SENIOR")</f>
        <v>ADULT</v>
      </c>
      <c r="H15" s="1" t="s">
        <v>29</v>
      </c>
      <c r="I15" s="1" t="s">
        <v>22</v>
      </c>
      <c r="J15" s="1" t="s">
        <v>23</v>
      </c>
      <c r="K15" s="1" t="s">
        <v>31</v>
      </c>
      <c r="L15" s="1">
        <v>4203</v>
      </c>
      <c r="M15" s="3">
        <f t="shared" si="0"/>
        <v>2.11753509398049E-2</v>
      </c>
      <c r="N15" s="1">
        <v>89</v>
      </c>
      <c r="O15" s="4">
        <f t="shared" si="1"/>
        <v>8.9</v>
      </c>
      <c r="P15" s="1">
        <v>10</v>
      </c>
      <c r="Q15" s="1">
        <v>88.3130835152609</v>
      </c>
      <c r="R15" s="1">
        <v>319.55377689833301</v>
      </c>
      <c r="S15" s="5">
        <f t="shared" si="2"/>
        <v>318.55377689833301</v>
      </c>
      <c r="T15" s="1">
        <v>28</v>
      </c>
      <c r="U15" s="1">
        <v>1</v>
      </c>
      <c r="V15" s="1">
        <v>2</v>
      </c>
      <c r="W15" s="1">
        <v>80</v>
      </c>
      <c r="X15" s="1">
        <v>0.45195636486602803</v>
      </c>
    </row>
    <row r="16" spans="1:24" x14ac:dyDescent="0.3">
      <c r="A16" s="2">
        <v>45345</v>
      </c>
      <c r="B16" s="1" t="s">
        <v>40</v>
      </c>
      <c r="C16" s="1" t="s">
        <v>41</v>
      </c>
      <c r="D16" s="1" t="s">
        <v>32</v>
      </c>
      <c r="E16" s="1" t="s">
        <v>20</v>
      </c>
      <c r="F16" s="1">
        <v>20</v>
      </c>
      <c r="G16" s="1" t="str" cm="1">
        <f t="array" ref="G16">_xlfn.IFS(F16&lt;=25,"YOUTH",F16&lt;=48,"ADULT",TRUE,"SENIOR")</f>
        <v>YOUTH</v>
      </c>
      <c r="H16" s="1" t="s">
        <v>21</v>
      </c>
      <c r="I16" s="1" t="s">
        <v>37</v>
      </c>
      <c r="J16" s="1" t="s">
        <v>23</v>
      </c>
      <c r="K16" s="1" t="s">
        <v>31</v>
      </c>
      <c r="L16" s="1">
        <v>40267</v>
      </c>
      <c r="M16" s="3">
        <f t="shared" si="0"/>
        <v>0.11028882211239974</v>
      </c>
      <c r="N16" s="1">
        <v>4441</v>
      </c>
      <c r="O16" s="4">
        <f t="shared" si="1"/>
        <v>10.779126213592233</v>
      </c>
      <c r="P16" s="1">
        <v>412</v>
      </c>
      <c r="Q16" s="1">
        <v>4746.9804018761497</v>
      </c>
      <c r="R16" s="1">
        <v>4265.1231277302004</v>
      </c>
      <c r="S16" s="5">
        <f t="shared" si="2"/>
        <v>4264.1231277302004</v>
      </c>
      <c r="T16" s="1">
        <v>747</v>
      </c>
      <c r="U16" s="1">
        <v>88</v>
      </c>
      <c r="V16" s="1">
        <v>49</v>
      </c>
      <c r="W16" s="1">
        <v>5546</v>
      </c>
      <c r="X16" s="1">
        <v>0.50491272171785895</v>
      </c>
    </row>
    <row r="17" spans="1:24" x14ac:dyDescent="0.3">
      <c r="A17" s="2">
        <v>45317</v>
      </c>
      <c r="B17" s="1" t="s">
        <v>34</v>
      </c>
      <c r="C17" s="1" t="s">
        <v>18</v>
      </c>
      <c r="D17" s="1" t="s">
        <v>27</v>
      </c>
      <c r="E17" s="1" t="s">
        <v>28</v>
      </c>
      <c r="F17" s="1">
        <v>39</v>
      </c>
      <c r="G17" s="1" t="str" cm="1">
        <f t="array" ref="G17">_xlfn.IFS(F17&lt;=25,"YOUTH",F17&lt;=48,"ADULT",TRUE,"SENIOR")</f>
        <v>ADULT</v>
      </c>
      <c r="H17" s="1" t="s">
        <v>42</v>
      </c>
      <c r="I17" s="1" t="s">
        <v>43</v>
      </c>
      <c r="J17" s="1" t="s">
        <v>23</v>
      </c>
      <c r="K17" s="1" t="s">
        <v>31</v>
      </c>
      <c r="L17" s="1">
        <v>38941</v>
      </c>
      <c r="M17" s="3">
        <f t="shared" si="0"/>
        <v>4.4939780693870217E-2</v>
      </c>
      <c r="N17" s="1">
        <v>1750</v>
      </c>
      <c r="O17" s="4">
        <f t="shared" si="1"/>
        <v>35.714285714285715</v>
      </c>
      <c r="P17" s="1">
        <v>49</v>
      </c>
      <c r="Q17" s="1">
        <v>1317.2907597370099</v>
      </c>
      <c r="R17" s="1">
        <v>2176.7848869999998</v>
      </c>
      <c r="S17" s="5">
        <f t="shared" si="2"/>
        <v>2175.7848869999998</v>
      </c>
      <c r="T17" s="1">
        <v>1060</v>
      </c>
      <c r="U17" s="1">
        <v>57</v>
      </c>
      <c r="V17" s="1">
        <v>30</v>
      </c>
      <c r="W17" s="1">
        <v>7688</v>
      </c>
      <c r="X17" s="1">
        <v>0.40394594109274901</v>
      </c>
    </row>
    <row r="18" spans="1:24" x14ac:dyDescent="0.3">
      <c r="A18" s="2">
        <v>45295</v>
      </c>
      <c r="B18" s="1" t="s">
        <v>17</v>
      </c>
      <c r="C18" s="1" t="s">
        <v>18</v>
      </c>
      <c r="D18" s="1" t="s">
        <v>27</v>
      </c>
      <c r="E18" s="1" t="s">
        <v>28</v>
      </c>
      <c r="F18" s="1">
        <v>19</v>
      </c>
      <c r="G18" s="1" t="str" cm="1">
        <f t="array" ref="G18">_xlfn.IFS(F18&lt;=25,"YOUTH",F18&lt;=48,"ADULT",TRUE,"SENIOR")</f>
        <v>YOUTH</v>
      </c>
      <c r="H18" s="1" t="s">
        <v>29</v>
      </c>
      <c r="I18" s="1" t="s">
        <v>43</v>
      </c>
      <c r="J18" s="1" t="s">
        <v>23</v>
      </c>
      <c r="K18" s="1" t="s">
        <v>31</v>
      </c>
      <c r="L18" s="1">
        <v>18273</v>
      </c>
      <c r="M18" s="3">
        <f t="shared" si="0"/>
        <v>0.13287363870190994</v>
      </c>
      <c r="N18" s="1">
        <v>2428</v>
      </c>
      <c r="O18" s="4">
        <f t="shared" si="1"/>
        <v>19.580645161290324</v>
      </c>
      <c r="P18" s="1">
        <v>124</v>
      </c>
      <c r="Q18" s="1">
        <v>561.07956799572003</v>
      </c>
      <c r="R18" s="1">
        <v>1456.0651262125</v>
      </c>
      <c r="S18" s="5">
        <f t="shared" si="2"/>
        <v>1455.0651262125</v>
      </c>
      <c r="T18" s="1">
        <v>399</v>
      </c>
      <c r="U18" s="1">
        <v>54</v>
      </c>
      <c r="V18" s="1">
        <v>14</v>
      </c>
      <c r="W18" s="1">
        <v>3348</v>
      </c>
      <c r="X18" s="1">
        <v>0.49972219481656399</v>
      </c>
    </row>
    <row r="19" spans="1:24" x14ac:dyDescent="0.3">
      <c r="A19" s="2">
        <v>45292</v>
      </c>
      <c r="B19" s="1" t="s">
        <v>25</v>
      </c>
      <c r="C19" s="1" t="s">
        <v>26</v>
      </c>
      <c r="D19" s="1" t="s">
        <v>36</v>
      </c>
      <c r="E19" s="1" t="s">
        <v>28</v>
      </c>
      <c r="F19" s="1">
        <v>41</v>
      </c>
      <c r="G19" s="1" t="str" cm="1">
        <f t="array" ref="G19">_xlfn.IFS(F19&lt;=25,"YOUTH",F19&lt;=48,"ADULT",TRUE,"SENIOR")</f>
        <v>ADULT</v>
      </c>
      <c r="H19" s="1" t="s">
        <v>29</v>
      </c>
      <c r="I19" s="1" t="s">
        <v>33</v>
      </c>
      <c r="J19" s="1" t="s">
        <v>23</v>
      </c>
      <c r="K19" s="1" t="s">
        <v>31</v>
      </c>
      <c r="L19" s="1">
        <v>26368</v>
      </c>
      <c r="M19" s="3">
        <f t="shared" si="0"/>
        <v>0.12382433252427184</v>
      </c>
      <c r="N19" s="1">
        <v>3265</v>
      </c>
      <c r="O19" s="4">
        <f t="shared" si="1"/>
        <v>5.1095461658841943</v>
      </c>
      <c r="P19" s="1">
        <v>639</v>
      </c>
      <c r="Q19" s="1">
        <v>536.61933911281801</v>
      </c>
      <c r="R19" s="1">
        <v>37914.504496924303</v>
      </c>
      <c r="S19" s="5">
        <f t="shared" si="2"/>
        <v>37913.504496924303</v>
      </c>
      <c r="T19" s="1">
        <v>296</v>
      </c>
      <c r="U19" s="1">
        <v>37</v>
      </c>
      <c r="V19" s="1">
        <v>12</v>
      </c>
      <c r="W19" s="1">
        <v>3857</v>
      </c>
      <c r="X19" s="1">
        <v>0.58174604469909796</v>
      </c>
    </row>
    <row r="20" spans="1:24" x14ac:dyDescent="0.3">
      <c r="A20" s="2">
        <v>45298</v>
      </c>
      <c r="B20" s="1" t="s">
        <v>25</v>
      </c>
      <c r="C20" s="1" t="s">
        <v>41</v>
      </c>
      <c r="D20" s="1" t="s">
        <v>27</v>
      </c>
      <c r="E20" s="1" t="s">
        <v>28</v>
      </c>
      <c r="F20" s="1">
        <v>47</v>
      </c>
      <c r="G20" s="1" t="str" cm="1">
        <f t="array" ref="G20">_xlfn.IFS(F20&lt;=25,"YOUTH",F20&lt;=48,"ADULT",TRUE,"SENIOR")</f>
        <v>ADULT</v>
      </c>
      <c r="H20" s="1" t="s">
        <v>29</v>
      </c>
      <c r="I20" s="1" t="s">
        <v>37</v>
      </c>
      <c r="J20" s="1" t="s">
        <v>23</v>
      </c>
      <c r="K20" s="1" t="s">
        <v>39</v>
      </c>
      <c r="L20" s="1">
        <v>12650</v>
      </c>
      <c r="M20" s="3">
        <f t="shared" si="0"/>
        <v>0.14403162055335969</v>
      </c>
      <c r="N20" s="1">
        <v>1822</v>
      </c>
      <c r="O20" s="4">
        <f t="shared" si="1"/>
        <v>42.372093023255815</v>
      </c>
      <c r="P20" s="1">
        <v>43</v>
      </c>
      <c r="Q20" s="1">
        <v>964.41288053616597</v>
      </c>
      <c r="R20" s="1">
        <v>2491.6778347208901</v>
      </c>
      <c r="S20" s="5">
        <f t="shared" si="2"/>
        <v>2490.6778347208901</v>
      </c>
      <c r="T20" s="1">
        <v>244</v>
      </c>
      <c r="U20" s="1">
        <v>42</v>
      </c>
      <c r="V20" s="1">
        <v>9</v>
      </c>
      <c r="W20" s="1">
        <v>379</v>
      </c>
      <c r="X20" s="1">
        <v>0.69602013900000004</v>
      </c>
    </row>
    <row r="21" spans="1:24" x14ac:dyDescent="0.3">
      <c r="A21" s="2">
        <v>45321</v>
      </c>
      <c r="B21" s="1" t="s">
        <v>17</v>
      </c>
      <c r="C21" s="1" t="s">
        <v>26</v>
      </c>
      <c r="D21" s="1" t="s">
        <v>36</v>
      </c>
      <c r="E21" s="1" t="s">
        <v>20</v>
      </c>
      <c r="F21" s="1">
        <v>55</v>
      </c>
      <c r="G21" s="1" t="str" cm="1">
        <f t="array" ref="G21">_xlfn.IFS(F21&lt;=25,"YOUTH",F21&lt;=48,"ADULT",TRUE,"SENIOR")</f>
        <v>SENIOR</v>
      </c>
      <c r="H21" s="1" t="s">
        <v>21</v>
      </c>
      <c r="I21" s="1" t="s">
        <v>43</v>
      </c>
      <c r="J21" s="1" t="s">
        <v>38</v>
      </c>
      <c r="K21" s="1" t="s">
        <v>24</v>
      </c>
      <c r="L21" s="1">
        <v>31984</v>
      </c>
      <c r="M21" s="3">
        <f t="shared" si="0"/>
        <v>0.1337231115557779</v>
      </c>
      <c r="N21" s="1">
        <v>4277</v>
      </c>
      <c r="O21" s="4">
        <f t="shared" si="1"/>
        <v>4.2599601593625502</v>
      </c>
      <c r="P21" s="1">
        <v>1004</v>
      </c>
      <c r="Q21" s="1">
        <v>2732.21103883351</v>
      </c>
      <c r="R21" s="1">
        <v>39843.068899241902</v>
      </c>
      <c r="S21" s="5">
        <f t="shared" si="2"/>
        <v>39842.068899241902</v>
      </c>
      <c r="T21" s="1">
        <v>914</v>
      </c>
      <c r="U21" s="1">
        <v>125</v>
      </c>
      <c r="V21" s="1">
        <v>54</v>
      </c>
      <c r="W21" s="1">
        <v>1774</v>
      </c>
      <c r="X21" s="1">
        <v>0.90560246615050199</v>
      </c>
    </row>
    <row r="22" spans="1:24" x14ac:dyDescent="0.3">
      <c r="A22" s="2">
        <v>45341</v>
      </c>
      <c r="B22" s="1" t="s">
        <v>17</v>
      </c>
      <c r="C22" s="1" t="s">
        <v>41</v>
      </c>
      <c r="D22" s="1" t="s">
        <v>19</v>
      </c>
      <c r="E22" s="1" t="s">
        <v>28</v>
      </c>
      <c r="F22" s="1">
        <v>19</v>
      </c>
      <c r="G22" s="1" t="str" cm="1">
        <f t="array" ref="G22">_xlfn.IFS(F22&lt;=25,"YOUTH",F22&lt;=48,"ADULT",TRUE,"SENIOR")</f>
        <v>YOUTH</v>
      </c>
      <c r="H22" s="1" t="s">
        <v>21</v>
      </c>
      <c r="I22" s="1" t="s">
        <v>33</v>
      </c>
      <c r="J22" s="1" t="s">
        <v>23</v>
      </c>
      <c r="K22" s="1" t="s">
        <v>39</v>
      </c>
      <c r="L22" s="1">
        <v>42941</v>
      </c>
      <c r="M22" s="3">
        <f t="shared" si="0"/>
        <v>0.14065811229361216</v>
      </c>
      <c r="N22" s="1">
        <v>6040</v>
      </c>
      <c r="O22" s="4">
        <f t="shared" si="1"/>
        <v>25.166666666666668</v>
      </c>
      <c r="P22" s="1">
        <v>240</v>
      </c>
      <c r="Q22" s="1">
        <v>4418.4711347366601</v>
      </c>
      <c r="R22" s="1">
        <v>3402.1901178736598</v>
      </c>
      <c r="S22" s="5">
        <f t="shared" si="2"/>
        <v>3401.1901178736598</v>
      </c>
      <c r="T22" s="1">
        <v>990</v>
      </c>
      <c r="U22" s="1">
        <v>97</v>
      </c>
      <c r="V22" s="1">
        <v>94</v>
      </c>
      <c r="W22" s="1">
        <v>1953</v>
      </c>
      <c r="X22" s="1">
        <v>0.69717977698313005</v>
      </c>
    </row>
    <row r="23" spans="1:24" x14ac:dyDescent="0.3">
      <c r="A23" s="2">
        <v>45300</v>
      </c>
      <c r="B23" s="1" t="s">
        <v>17</v>
      </c>
      <c r="C23" s="1" t="s">
        <v>26</v>
      </c>
      <c r="D23" s="1" t="s">
        <v>27</v>
      </c>
      <c r="E23" s="1" t="s">
        <v>28</v>
      </c>
      <c r="F23" s="1">
        <v>38</v>
      </c>
      <c r="G23" s="1" t="str" cm="1">
        <f t="array" ref="G23">_xlfn.IFS(F23&lt;=25,"YOUTH",F23&lt;=48,"ADULT",TRUE,"SENIOR")</f>
        <v>ADULT</v>
      </c>
      <c r="H23" s="1" t="s">
        <v>29</v>
      </c>
      <c r="I23" s="1" t="s">
        <v>37</v>
      </c>
      <c r="J23" s="1" t="s">
        <v>38</v>
      </c>
      <c r="K23" s="1" t="s">
        <v>24</v>
      </c>
      <c r="L23" s="1">
        <v>8382</v>
      </c>
      <c r="M23" s="3">
        <f t="shared" si="0"/>
        <v>0.13015986638033883</v>
      </c>
      <c r="N23" s="1">
        <v>1091</v>
      </c>
      <c r="O23" s="4">
        <f t="shared" si="1"/>
        <v>4.9144144144144146</v>
      </c>
      <c r="P23" s="1">
        <v>222</v>
      </c>
      <c r="Q23" s="1">
        <v>490.24892467087602</v>
      </c>
      <c r="R23" s="1">
        <v>1479.1047275062699</v>
      </c>
      <c r="S23" s="5">
        <f t="shared" si="2"/>
        <v>1478.1047275062699</v>
      </c>
      <c r="T23" s="1">
        <v>186</v>
      </c>
      <c r="U23" s="1">
        <v>23</v>
      </c>
      <c r="V23" s="1">
        <v>10</v>
      </c>
      <c r="W23" s="1">
        <v>649</v>
      </c>
      <c r="X23" s="1">
        <v>0.78808194775038698</v>
      </c>
    </row>
    <row r="24" spans="1:24" x14ac:dyDescent="0.3">
      <c r="A24" s="2">
        <v>45326</v>
      </c>
      <c r="B24" s="1" t="s">
        <v>34</v>
      </c>
      <c r="C24" s="1" t="s">
        <v>18</v>
      </c>
      <c r="D24" s="1" t="s">
        <v>19</v>
      </c>
      <c r="E24" s="1" t="s">
        <v>20</v>
      </c>
      <c r="F24" s="1">
        <v>50</v>
      </c>
      <c r="G24" s="1" t="str" cm="1">
        <f t="array" ref="G24">_xlfn.IFS(F24&lt;=25,"YOUTH",F24&lt;=48,"ADULT",TRUE,"SENIOR")</f>
        <v>SENIOR</v>
      </c>
      <c r="H24" s="1" t="s">
        <v>42</v>
      </c>
      <c r="I24" s="1" t="s">
        <v>22</v>
      </c>
      <c r="J24" s="1" t="s">
        <v>38</v>
      </c>
      <c r="K24" s="1" t="s">
        <v>31</v>
      </c>
      <c r="L24" s="1">
        <v>1801</v>
      </c>
      <c r="M24" s="3">
        <f t="shared" si="0"/>
        <v>0.10660744031093837</v>
      </c>
      <c r="N24" s="1">
        <v>192</v>
      </c>
      <c r="O24" s="4">
        <f t="shared" si="1"/>
        <v>4.4651162790697674</v>
      </c>
      <c r="P24" s="1">
        <v>43</v>
      </c>
      <c r="Q24" s="1">
        <v>202.351738847636</v>
      </c>
      <c r="R24" s="1">
        <v>2441.8007259999999</v>
      </c>
      <c r="S24" s="5">
        <f t="shared" si="2"/>
        <v>2440.8007259999999</v>
      </c>
      <c r="T24" s="1">
        <v>52</v>
      </c>
      <c r="U24" s="1">
        <v>8</v>
      </c>
      <c r="V24" s="1">
        <v>3</v>
      </c>
      <c r="W24" s="1">
        <v>98</v>
      </c>
      <c r="X24" s="1">
        <v>0.59672240021817502</v>
      </c>
    </row>
    <row r="25" spans="1:24" x14ac:dyDescent="0.3">
      <c r="A25" s="2">
        <v>45299</v>
      </c>
      <c r="B25" s="1" t="s">
        <v>25</v>
      </c>
      <c r="C25" s="1" t="s">
        <v>35</v>
      </c>
      <c r="D25" s="1" t="s">
        <v>32</v>
      </c>
      <c r="E25" s="1" t="s">
        <v>20</v>
      </c>
      <c r="F25" s="1">
        <v>29</v>
      </c>
      <c r="G25" s="1" t="str" cm="1">
        <f t="array" ref="G25">_xlfn.IFS(F25&lt;=25,"YOUTH",F25&lt;=48,"ADULT",TRUE,"SENIOR")</f>
        <v>ADULT</v>
      </c>
      <c r="H25" s="1" t="s">
        <v>21</v>
      </c>
      <c r="I25" s="1" t="s">
        <v>43</v>
      </c>
      <c r="J25" s="1" t="s">
        <v>23</v>
      </c>
      <c r="K25" s="1" t="s">
        <v>39</v>
      </c>
      <c r="L25" s="1">
        <v>42002</v>
      </c>
      <c r="M25" s="3">
        <f t="shared" si="0"/>
        <v>3.3831722298938147E-2</v>
      </c>
      <c r="N25" s="1">
        <v>1421</v>
      </c>
      <c r="O25" s="4">
        <f t="shared" si="1"/>
        <v>4.229166666666667</v>
      </c>
      <c r="P25" s="1">
        <v>336</v>
      </c>
      <c r="Q25" s="1">
        <v>1764.6359677248199</v>
      </c>
      <c r="R25" s="1">
        <v>14787.0681533812</v>
      </c>
      <c r="S25" s="5">
        <f t="shared" si="2"/>
        <v>14786.0681533812</v>
      </c>
      <c r="T25" s="1">
        <v>1048</v>
      </c>
      <c r="U25" s="1">
        <v>67</v>
      </c>
      <c r="V25" s="1">
        <v>78</v>
      </c>
      <c r="W25" s="1">
        <v>2370</v>
      </c>
      <c r="X25" s="1">
        <v>0.81339693646199696</v>
      </c>
    </row>
    <row r="26" spans="1:24" x14ac:dyDescent="0.3">
      <c r="A26" s="2">
        <v>45315</v>
      </c>
      <c r="B26" s="1" t="s">
        <v>17</v>
      </c>
      <c r="C26" s="1" t="s">
        <v>18</v>
      </c>
      <c r="D26" s="1" t="s">
        <v>19</v>
      </c>
      <c r="E26" s="1" t="s">
        <v>20</v>
      </c>
      <c r="F26" s="1">
        <v>39</v>
      </c>
      <c r="G26" s="1" t="str" cm="1">
        <f t="array" ref="G26">_xlfn.IFS(F26&lt;=25,"YOUTH",F26&lt;=48,"ADULT",TRUE,"SENIOR")</f>
        <v>ADULT</v>
      </c>
      <c r="H26" s="1" t="s">
        <v>29</v>
      </c>
      <c r="I26" s="1" t="s">
        <v>22</v>
      </c>
      <c r="J26" s="1" t="s">
        <v>23</v>
      </c>
      <c r="K26" s="1" t="s">
        <v>24</v>
      </c>
      <c r="L26" s="1">
        <v>47665</v>
      </c>
      <c r="M26" s="3">
        <f t="shared" si="0"/>
        <v>4.8022658134899823E-2</v>
      </c>
      <c r="N26" s="1">
        <v>2289</v>
      </c>
      <c r="O26" s="4">
        <f t="shared" si="1"/>
        <v>4.5597609561752988</v>
      </c>
      <c r="P26" s="1">
        <v>502</v>
      </c>
      <c r="Q26" s="1">
        <v>6108.6847645956104</v>
      </c>
      <c r="R26" s="1">
        <v>25707.6340470834</v>
      </c>
      <c r="S26" s="5">
        <f t="shared" si="2"/>
        <v>25706.6340470834</v>
      </c>
      <c r="T26" s="1">
        <v>401</v>
      </c>
      <c r="U26" s="1">
        <v>57</v>
      </c>
      <c r="V26" s="1">
        <v>35</v>
      </c>
      <c r="W26" s="1">
        <v>6061</v>
      </c>
      <c r="X26" s="1">
        <v>0.74125781032831195</v>
      </c>
    </row>
    <row r="27" spans="1:24" x14ac:dyDescent="0.3">
      <c r="A27" s="2">
        <v>45310</v>
      </c>
      <c r="B27" s="1" t="s">
        <v>34</v>
      </c>
      <c r="C27" s="1" t="s">
        <v>26</v>
      </c>
      <c r="D27" s="1" t="s">
        <v>32</v>
      </c>
      <c r="E27" s="1" t="s">
        <v>28</v>
      </c>
      <c r="F27" s="1">
        <v>42</v>
      </c>
      <c r="G27" s="1" t="str" cm="1">
        <f t="array" ref="G27">_xlfn.IFS(F27&lt;=25,"YOUTH",F27&lt;=48,"ADULT",TRUE,"SENIOR")</f>
        <v>ADULT</v>
      </c>
      <c r="H27" s="1" t="s">
        <v>21</v>
      </c>
      <c r="I27" s="1" t="s">
        <v>37</v>
      </c>
      <c r="J27" s="1" t="s">
        <v>23</v>
      </c>
      <c r="K27" s="1" t="s">
        <v>31</v>
      </c>
      <c r="L27" s="1">
        <v>48965</v>
      </c>
      <c r="M27" s="3">
        <f t="shared" si="0"/>
        <v>3.9763096089043194E-2</v>
      </c>
      <c r="N27" s="1">
        <v>1947</v>
      </c>
      <c r="O27" s="4">
        <f t="shared" si="1"/>
        <v>11.658682634730539</v>
      </c>
      <c r="P27" s="1">
        <v>167</v>
      </c>
      <c r="Q27" s="1">
        <v>4619.3719451356801</v>
      </c>
      <c r="R27" s="1">
        <v>4132.8263500000003</v>
      </c>
      <c r="S27" s="5">
        <f t="shared" si="2"/>
        <v>4131.8263500000003</v>
      </c>
      <c r="T27" s="1">
        <v>670</v>
      </c>
      <c r="U27" s="1">
        <v>125</v>
      </c>
      <c r="V27" s="1">
        <v>15</v>
      </c>
      <c r="W27" s="1">
        <v>3454</v>
      </c>
      <c r="X27" s="1">
        <v>0.65288670730117304</v>
      </c>
    </row>
    <row r="28" spans="1:24" x14ac:dyDescent="0.3">
      <c r="A28" s="2">
        <v>45327</v>
      </c>
      <c r="B28" s="1" t="s">
        <v>17</v>
      </c>
      <c r="C28" s="1" t="s">
        <v>26</v>
      </c>
      <c r="D28" s="1" t="s">
        <v>19</v>
      </c>
      <c r="E28" s="1" t="s">
        <v>28</v>
      </c>
      <c r="F28" s="1">
        <v>44</v>
      </c>
      <c r="G28" s="1" t="str" cm="1">
        <f t="array" ref="G28">_xlfn.IFS(F28&lt;=25,"YOUTH",F28&lt;=48,"ADULT",TRUE,"SENIOR")</f>
        <v>ADULT</v>
      </c>
      <c r="H28" s="1" t="s">
        <v>21</v>
      </c>
      <c r="I28" s="1" t="s">
        <v>43</v>
      </c>
      <c r="J28" s="1" t="s">
        <v>23</v>
      </c>
      <c r="K28" s="1" t="s">
        <v>24</v>
      </c>
      <c r="L28" s="1">
        <v>20733</v>
      </c>
      <c r="M28" s="3">
        <f t="shared" si="0"/>
        <v>9.4487049631023001E-2</v>
      </c>
      <c r="N28" s="1">
        <v>1959</v>
      </c>
      <c r="O28" s="4">
        <f t="shared" si="1"/>
        <v>10.365079365079366</v>
      </c>
      <c r="P28" s="1">
        <v>189</v>
      </c>
      <c r="Q28" s="1">
        <v>1988.41240203644</v>
      </c>
      <c r="R28" s="1">
        <v>7203.9954344124899</v>
      </c>
      <c r="S28" s="5">
        <f t="shared" si="2"/>
        <v>7202.9954344124899</v>
      </c>
      <c r="T28" s="1">
        <v>603</v>
      </c>
      <c r="U28" s="1">
        <v>57</v>
      </c>
      <c r="V28" s="1">
        <v>31</v>
      </c>
      <c r="W28" s="1">
        <v>2874</v>
      </c>
      <c r="X28" s="1">
        <v>0.50657283719017399</v>
      </c>
    </row>
    <row r="29" spans="1:24" x14ac:dyDescent="0.3">
      <c r="A29" s="2">
        <v>45341</v>
      </c>
      <c r="B29" s="1" t="s">
        <v>40</v>
      </c>
      <c r="C29" s="1" t="s">
        <v>35</v>
      </c>
      <c r="D29" s="1" t="s">
        <v>19</v>
      </c>
      <c r="E29" s="1" t="s">
        <v>28</v>
      </c>
      <c r="F29" s="1">
        <v>59</v>
      </c>
      <c r="G29" s="1" t="str" cm="1">
        <f t="array" ref="G29">_xlfn.IFS(F29&lt;=25,"YOUTH",F29&lt;=48,"ADULT",TRUE,"SENIOR")</f>
        <v>SENIOR</v>
      </c>
      <c r="H29" s="1" t="s">
        <v>29</v>
      </c>
      <c r="I29" s="1" t="s">
        <v>37</v>
      </c>
      <c r="J29" s="1" t="s">
        <v>23</v>
      </c>
      <c r="K29" s="1" t="s">
        <v>31</v>
      </c>
      <c r="L29" s="1">
        <v>10969</v>
      </c>
      <c r="M29" s="3">
        <f t="shared" si="0"/>
        <v>8.0499589752940109E-2</v>
      </c>
      <c r="N29" s="1">
        <v>883</v>
      </c>
      <c r="O29" s="4">
        <f t="shared" si="1"/>
        <v>8.490384615384615</v>
      </c>
      <c r="P29" s="1">
        <v>104</v>
      </c>
      <c r="Q29" s="1">
        <v>518.51344678659405</v>
      </c>
      <c r="R29" s="1">
        <v>5570.89739284803</v>
      </c>
      <c r="S29" s="5">
        <f t="shared" si="2"/>
        <v>5569.89739284803</v>
      </c>
      <c r="T29" s="1">
        <v>189</v>
      </c>
      <c r="U29" s="1">
        <v>27</v>
      </c>
      <c r="V29" s="1">
        <v>15</v>
      </c>
      <c r="W29" s="1">
        <v>2085</v>
      </c>
      <c r="X29" s="1">
        <v>0.56694749939851397</v>
      </c>
    </row>
    <row r="30" spans="1:24" x14ac:dyDescent="0.3">
      <c r="A30" s="2">
        <v>45343</v>
      </c>
      <c r="B30" s="1" t="s">
        <v>40</v>
      </c>
      <c r="C30" s="1" t="s">
        <v>41</v>
      </c>
      <c r="D30" s="1" t="s">
        <v>27</v>
      </c>
      <c r="E30" s="1" t="s">
        <v>28</v>
      </c>
      <c r="F30" s="1">
        <v>45</v>
      </c>
      <c r="G30" s="1" t="str" cm="1">
        <f t="array" ref="G30">_xlfn.IFS(F30&lt;=25,"YOUTH",F30&lt;=48,"ADULT",TRUE,"SENIOR")</f>
        <v>ADULT</v>
      </c>
      <c r="H30" s="1" t="s">
        <v>29</v>
      </c>
      <c r="I30" s="1" t="s">
        <v>22</v>
      </c>
      <c r="J30" s="1" t="s">
        <v>23</v>
      </c>
      <c r="K30" s="1" t="s">
        <v>31</v>
      </c>
      <c r="L30" s="1">
        <v>36969</v>
      </c>
      <c r="M30" s="3">
        <f t="shared" si="0"/>
        <v>0.13138034569504178</v>
      </c>
      <c r="N30" s="1">
        <v>4857</v>
      </c>
      <c r="O30" s="4">
        <f t="shared" si="1"/>
        <v>19.273809523809526</v>
      </c>
      <c r="P30" s="1">
        <v>252</v>
      </c>
      <c r="Q30" s="1">
        <v>1095.54442587518</v>
      </c>
      <c r="R30" s="1">
        <v>8836.7869901800295</v>
      </c>
      <c r="S30" s="5">
        <f t="shared" si="2"/>
        <v>8835.7869901800295</v>
      </c>
      <c r="T30" s="1">
        <v>288</v>
      </c>
      <c r="U30" s="1">
        <v>49</v>
      </c>
      <c r="V30" s="1">
        <v>24</v>
      </c>
      <c r="W30" s="1">
        <v>4854</v>
      </c>
      <c r="X30" s="1">
        <v>0.741520348056665</v>
      </c>
    </row>
    <row r="31" spans="1:24" x14ac:dyDescent="0.3">
      <c r="A31" s="2">
        <v>45350</v>
      </c>
      <c r="B31" s="1" t="s">
        <v>25</v>
      </c>
      <c r="C31" s="1" t="s">
        <v>26</v>
      </c>
      <c r="D31" s="1" t="s">
        <v>19</v>
      </c>
      <c r="E31" s="1" t="s">
        <v>20</v>
      </c>
      <c r="F31" s="1">
        <v>33</v>
      </c>
      <c r="G31" s="1" t="str" cm="1">
        <f t="array" ref="G31">_xlfn.IFS(F31&lt;=25,"YOUTH",F31&lt;=48,"ADULT",TRUE,"SENIOR")</f>
        <v>ADULT</v>
      </c>
      <c r="H31" s="1" t="s">
        <v>29</v>
      </c>
      <c r="I31" s="1" t="s">
        <v>43</v>
      </c>
      <c r="J31" s="1" t="s">
        <v>23</v>
      </c>
      <c r="K31" s="1" t="s">
        <v>31</v>
      </c>
      <c r="L31" s="1">
        <v>17733</v>
      </c>
      <c r="M31" s="3">
        <f t="shared" si="0"/>
        <v>0.1433485591834433</v>
      </c>
      <c r="N31" s="1">
        <v>2542</v>
      </c>
      <c r="O31" s="4">
        <f t="shared" si="1"/>
        <v>40.349206349206348</v>
      </c>
      <c r="P31" s="1">
        <v>63</v>
      </c>
      <c r="Q31" s="1">
        <v>1425.98544129384</v>
      </c>
      <c r="R31" s="1">
        <v>2777.6683922379498</v>
      </c>
      <c r="S31" s="5">
        <f t="shared" si="2"/>
        <v>2776.6683922379498</v>
      </c>
      <c r="T31" s="1">
        <v>291</v>
      </c>
      <c r="U31" s="1">
        <v>36</v>
      </c>
      <c r="V31" s="1">
        <v>27</v>
      </c>
      <c r="W31" s="1">
        <v>2709</v>
      </c>
      <c r="X31" s="1">
        <v>0.634330978400515</v>
      </c>
    </row>
    <row r="32" spans="1:24" x14ac:dyDescent="0.3">
      <c r="A32" s="2">
        <v>45334</v>
      </c>
      <c r="B32" s="1" t="s">
        <v>34</v>
      </c>
      <c r="C32" s="1" t="s">
        <v>26</v>
      </c>
      <c r="D32" s="1" t="s">
        <v>27</v>
      </c>
      <c r="E32" s="1" t="s">
        <v>28</v>
      </c>
      <c r="F32" s="1">
        <v>32</v>
      </c>
      <c r="G32" s="1" t="str" cm="1">
        <f t="array" ref="G32">_xlfn.IFS(F32&lt;=25,"YOUTH",F32&lt;=48,"ADULT",TRUE,"SENIOR")</f>
        <v>ADULT</v>
      </c>
      <c r="H32" s="1" t="s">
        <v>29</v>
      </c>
      <c r="I32" s="1" t="s">
        <v>22</v>
      </c>
      <c r="J32" s="1" t="s">
        <v>38</v>
      </c>
      <c r="K32" s="1" t="s">
        <v>39</v>
      </c>
      <c r="L32" s="1">
        <v>33449</v>
      </c>
      <c r="M32" s="3">
        <f t="shared" si="0"/>
        <v>6.6668659750665188E-2</v>
      </c>
      <c r="N32" s="1">
        <v>2230</v>
      </c>
      <c r="O32" s="4">
        <f t="shared" si="1"/>
        <v>4.5510204081632653</v>
      </c>
      <c r="P32" s="1">
        <v>490</v>
      </c>
      <c r="Q32" s="1">
        <v>3345.8885433806199</v>
      </c>
      <c r="R32" s="1">
        <v>27602.845140000001</v>
      </c>
      <c r="S32" s="5">
        <f t="shared" si="2"/>
        <v>27601.845140000001</v>
      </c>
      <c r="T32" s="1">
        <v>750</v>
      </c>
      <c r="U32" s="1">
        <v>118</v>
      </c>
      <c r="V32" s="1">
        <v>57</v>
      </c>
      <c r="W32" s="1">
        <v>5111</v>
      </c>
      <c r="X32" s="1">
        <v>0.88916260621197796</v>
      </c>
    </row>
    <row r="33" spans="1:24" x14ac:dyDescent="0.3">
      <c r="A33" s="2">
        <v>45318</v>
      </c>
      <c r="B33" s="1" t="s">
        <v>40</v>
      </c>
      <c r="C33" s="1" t="s">
        <v>26</v>
      </c>
      <c r="D33" s="1" t="s">
        <v>27</v>
      </c>
      <c r="E33" s="1" t="s">
        <v>28</v>
      </c>
      <c r="F33" s="1">
        <v>20</v>
      </c>
      <c r="G33" s="1" t="str" cm="1">
        <f t="array" ref="G33">_xlfn.IFS(F33&lt;=25,"YOUTH",F33&lt;=48,"ADULT",TRUE,"SENIOR")</f>
        <v>YOUTH</v>
      </c>
      <c r="H33" s="1" t="s">
        <v>21</v>
      </c>
      <c r="I33" s="1" t="s">
        <v>37</v>
      </c>
      <c r="J33" s="1" t="s">
        <v>23</v>
      </c>
      <c r="K33" s="1" t="s">
        <v>39</v>
      </c>
      <c r="L33" s="1">
        <v>27143</v>
      </c>
      <c r="M33" s="3">
        <f t="shared" si="0"/>
        <v>8.0867995431602988E-2</v>
      </c>
      <c r="N33" s="1">
        <v>2195</v>
      </c>
      <c r="O33" s="4">
        <f t="shared" si="1"/>
        <v>6.7956656346749229</v>
      </c>
      <c r="P33" s="1">
        <v>323</v>
      </c>
      <c r="Q33" s="1">
        <v>878.23998356903701</v>
      </c>
      <c r="R33" s="1">
        <v>6133.5574473676197</v>
      </c>
      <c r="S33" s="5">
        <f t="shared" si="2"/>
        <v>6132.5574473676197</v>
      </c>
      <c r="T33" s="1">
        <v>812</v>
      </c>
      <c r="U33" s="1">
        <v>78</v>
      </c>
      <c r="V33" s="1">
        <v>32</v>
      </c>
      <c r="W33" s="1">
        <v>1976</v>
      </c>
      <c r="X33" s="1">
        <v>0.52916214900000003</v>
      </c>
    </row>
    <row r="34" spans="1:24" x14ac:dyDescent="0.3">
      <c r="A34" s="2">
        <v>45323</v>
      </c>
      <c r="B34" s="1" t="s">
        <v>40</v>
      </c>
      <c r="C34" s="1" t="s">
        <v>35</v>
      </c>
      <c r="D34" s="1" t="s">
        <v>36</v>
      </c>
      <c r="E34" s="1" t="s">
        <v>20</v>
      </c>
      <c r="F34" s="1">
        <v>54</v>
      </c>
      <c r="G34" s="1" t="str" cm="1">
        <f t="array" ref="G34">_xlfn.IFS(F34&lt;=25,"YOUTH",F34&lt;=48,"ADULT",TRUE,"SENIOR")</f>
        <v>SENIOR</v>
      </c>
      <c r="H34" s="1" t="s">
        <v>42</v>
      </c>
      <c r="I34" s="1" t="s">
        <v>37</v>
      </c>
      <c r="J34" s="1" t="s">
        <v>38</v>
      </c>
      <c r="K34" s="1" t="s">
        <v>39</v>
      </c>
      <c r="L34" s="1">
        <v>26705</v>
      </c>
      <c r="M34" s="3">
        <f t="shared" si="0"/>
        <v>0.14600262123197902</v>
      </c>
      <c r="N34" s="1">
        <v>3899</v>
      </c>
      <c r="O34" s="4">
        <f t="shared" si="1"/>
        <v>6.2584269662921352</v>
      </c>
      <c r="P34" s="1">
        <v>623</v>
      </c>
      <c r="Q34" s="1">
        <v>3834.0230084957002</v>
      </c>
      <c r="R34" s="1">
        <v>5784.7903745312396</v>
      </c>
      <c r="S34" s="5">
        <f t="shared" si="2"/>
        <v>5783.7903745312396</v>
      </c>
      <c r="T34" s="1">
        <v>349</v>
      </c>
      <c r="U34" s="1">
        <v>33</v>
      </c>
      <c r="V34" s="1">
        <v>21</v>
      </c>
      <c r="W34" s="1">
        <v>342</v>
      </c>
      <c r="X34" s="1">
        <v>0.440189958739299</v>
      </c>
    </row>
    <row r="35" spans="1:24" x14ac:dyDescent="0.3">
      <c r="A35" s="2">
        <v>45305</v>
      </c>
      <c r="B35" s="1" t="s">
        <v>34</v>
      </c>
      <c r="C35" s="1" t="s">
        <v>18</v>
      </c>
      <c r="D35" s="1" t="s">
        <v>36</v>
      </c>
      <c r="E35" s="1" t="s">
        <v>20</v>
      </c>
      <c r="F35" s="1">
        <v>24</v>
      </c>
      <c r="G35" s="1" t="str" cm="1">
        <f t="array" ref="G35">_xlfn.IFS(F35&lt;=25,"YOUTH",F35&lt;=48,"ADULT",TRUE,"SENIOR")</f>
        <v>YOUTH</v>
      </c>
      <c r="H35" s="1" t="s">
        <v>29</v>
      </c>
      <c r="I35" s="1" t="s">
        <v>22</v>
      </c>
      <c r="J35" s="1" t="s">
        <v>23</v>
      </c>
      <c r="K35" s="1" t="s">
        <v>31</v>
      </c>
      <c r="L35" s="1">
        <v>29363</v>
      </c>
      <c r="M35" s="3">
        <f t="shared" si="0"/>
        <v>4.8666689370977081E-2</v>
      </c>
      <c r="N35" s="1">
        <v>1429</v>
      </c>
      <c r="O35" s="4">
        <f t="shared" si="1"/>
        <v>4.2912912912912917</v>
      </c>
      <c r="P35" s="1">
        <v>333</v>
      </c>
      <c r="Q35" s="1">
        <v>4329.6878917370605</v>
      </c>
      <c r="R35" s="1">
        <v>13176.319891499799</v>
      </c>
      <c r="S35" s="5">
        <f t="shared" si="2"/>
        <v>13175.319891499799</v>
      </c>
      <c r="T35" s="1">
        <v>524</v>
      </c>
      <c r="U35" s="1">
        <v>78</v>
      </c>
      <c r="V35" s="1">
        <v>11</v>
      </c>
      <c r="W35" s="1">
        <v>600</v>
      </c>
      <c r="X35" s="1">
        <v>0.724141717078016</v>
      </c>
    </row>
    <row r="36" spans="1:24" x14ac:dyDescent="0.3">
      <c r="A36" s="2">
        <v>45348</v>
      </c>
      <c r="B36" s="1" t="s">
        <v>17</v>
      </c>
      <c r="C36" s="1" t="s">
        <v>26</v>
      </c>
      <c r="D36" s="1" t="s">
        <v>32</v>
      </c>
      <c r="E36" s="1" t="s">
        <v>20</v>
      </c>
      <c r="F36" s="1">
        <v>38</v>
      </c>
      <c r="G36" s="1" t="str" cm="1">
        <f t="array" ref="G36">_xlfn.IFS(F36&lt;=25,"YOUTH",F36&lt;=48,"ADULT",TRUE,"SENIOR")</f>
        <v>ADULT</v>
      </c>
      <c r="H36" s="1" t="s">
        <v>29</v>
      </c>
      <c r="I36" s="1" t="s">
        <v>43</v>
      </c>
      <c r="J36" s="1" t="s">
        <v>38</v>
      </c>
      <c r="K36" s="1" t="s">
        <v>31</v>
      </c>
      <c r="L36" s="1">
        <v>31720</v>
      </c>
      <c r="M36" s="3">
        <f t="shared" si="0"/>
        <v>0.12093316519546028</v>
      </c>
      <c r="N36" s="1">
        <v>3836</v>
      </c>
      <c r="O36" s="4">
        <f t="shared" si="1"/>
        <v>5.7858220211161386</v>
      </c>
      <c r="P36" s="1">
        <v>663</v>
      </c>
      <c r="Q36" s="1">
        <v>2883.6452290000002</v>
      </c>
      <c r="R36" s="1">
        <v>5992.3100891825197</v>
      </c>
      <c r="S36" s="5">
        <f t="shared" si="2"/>
        <v>5991.3100891825197</v>
      </c>
      <c r="T36" s="1">
        <v>856</v>
      </c>
      <c r="U36" s="1">
        <v>133</v>
      </c>
      <c r="V36" s="1">
        <v>61</v>
      </c>
      <c r="W36" s="1">
        <v>2017</v>
      </c>
      <c r="X36" s="1">
        <v>0.88732796210454101</v>
      </c>
    </row>
    <row r="37" spans="1:24" x14ac:dyDescent="0.3">
      <c r="A37" s="2">
        <v>45309</v>
      </c>
      <c r="B37" s="1" t="s">
        <v>34</v>
      </c>
      <c r="C37" s="1" t="s">
        <v>35</v>
      </c>
      <c r="D37" s="1" t="s">
        <v>19</v>
      </c>
      <c r="E37" s="1" t="s">
        <v>28</v>
      </c>
      <c r="F37" s="1">
        <v>26</v>
      </c>
      <c r="G37" s="1" t="str" cm="1">
        <f t="array" ref="G37">_xlfn.IFS(F37&lt;=25,"YOUTH",F37&lt;=48,"ADULT",TRUE,"SENIOR")</f>
        <v>ADULT</v>
      </c>
      <c r="H37" s="1" t="s">
        <v>29</v>
      </c>
      <c r="I37" s="1" t="s">
        <v>22</v>
      </c>
      <c r="J37" s="1" t="s">
        <v>23</v>
      </c>
      <c r="K37" s="1" t="s">
        <v>31</v>
      </c>
      <c r="L37" s="1">
        <v>10972</v>
      </c>
      <c r="M37" s="3">
        <f t="shared" si="0"/>
        <v>4.1469194312796206E-2</v>
      </c>
      <c r="N37" s="1">
        <v>455</v>
      </c>
      <c r="O37" s="4">
        <f t="shared" si="1"/>
        <v>5.617283950617284</v>
      </c>
      <c r="P37" s="1">
        <v>81</v>
      </c>
      <c r="Q37" s="1">
        <v>1574.5806403157701</v>
      </c>
      <c r="R37" s="1">
        <v>4440.92415484095</v>
      </c>
      <c r="S37" s="5">
        <f t="shared" si="2"/>
        <v>4439.92415484095</v>
      </c>
      <c r="T37" s="1">
        <v>152</v>
      </c>
      <c r="U37" s="1">
        <v>28</v>
      </c>
      <c r="V37" s="1">
        <v>9</v>
      </c>
      <c r="W37" s="1">
        <v>1547</v>
      </c>
      <c r="X37" s="1">
        <v>0.60060646619188296</v>
      </c>
    </row>
    <row r="38" spans="1:24" x14ac:dyDescent="0.3">
      <c r="A38" s="2">
        <v>45319</v>
      </c>
      <c r="B38" s="1" t="s">
        <v>17</v>
      </c>
      <c r="C38" s="1" t="s">
        <v>26</v>
      </c>
      <c r="D38" s="1" t="s">
        <v>32</v>
      </c>
      <c r="E38" s="1" t="s">
        <v>28</v>
      </c>
      <c r="F38" s="1">
        <v>56</v>
      </c>
      <c r="G38" s="1" t="str" cm="1">
        <f t="array" ref="G38">_xlfn.IFS(F38&lt;=25,"YOUTH",F38&lt;=48,"ADULT",TRUE,"SENIOR")</f>
        <v>SENIOR</v>
      </c>
      <c r="H38" s="1" t="s">
        <v>29</v>
      </c>
      <c r="I38" s="1" t="s">
        <v>37</v>
      </c>
      <c r="J38" s="1" t="s">
        <v>23</v>
      </c>
      <c r="K38" s="1" t="s">
        <v>31</v>
      </c>
      <c r="L38" s="1">
        <v>34351</v>
      </c>
      <c r="M38" s="3">
        <f t="shared" si="0"/>
        <v>0.10538266717126139</v>
      </c>
      <c r="N38" s="1">
        <v>3620</v>
      </c>
      <c r="O38" s="4">
        <f t="shared" si="1"/>
        <v>4.979367262723521</v>
      </c>
      <c r="P38" s="1">
        <v>727</v>
      </c>
      <c r="Q38" s="1">
        <v>1488.35603629818</v>
      </c>
      <c r="R38" s="1">
        <v>37621.336957934604</v>
      </c>
      <c r="S38" s="5">
        <f t="shared" si="2"/>
        <v>37620.336957934604</v>
      </c>
      <c r="T38" s="1">
        <v>265</v>
      </c>
      <c r="U38" s="1">
        <v>22</v>
      </c>
      <c r="V38" s="1">
        <v>19</v>
      </c>
      <c r="W38" s="1">
        <v>6261</v>
      </c>
      <c r="X38" s="1">
        <v>0.75624123417749001</v>
      </c>
    </row>
    <row r="39" spans="1:24" x14ac:dyDescent="0.3">
      <c r="A39" s="2">
        <v>45351</v>
      </c>
      <c r="B39" s="1" t="s">
        <v>40</v>
      </c>
      <c r="C39" s="1" t="s">
        <v>41</v>
      </c>
      <c r="D39" s="1" t="s">
        <v>19</v>
      </c>
      <c r="E39" s="1" t="s">
        <v>28</v>
      </c>
      <c r="F39" s="1">
        <v>35</v>
      </c>
      <c r="G39" s="1" t="str" cm="1">
        <f t="array" ref="G39">_xlfn.IFS(F39&lt;=25,"YOUTH",F39&lt;=48,"ADULT",TRUE,"SENIOR")</f>
        <v>ADULT</v>
      </c>
      <c r="H39" s="1" t="s">
        <v>21</v>
      </c>
      <c r="I39" s="1" t="s">
        <v>22</v>
      </c>
      <c r="J39" s="1" t="s">
        <v>23</v>
      </c>
      <c r="K39" s="1" t="s">
        <v>24</v>
      </c>
      <c r="L39" s="1">
        <v>46487</v>
      </c>
      <c r="M39" s="3">
        <f t="shared" si="0"/>
        <v>4.5496590444640439E-2</v>
      </c>
      <c r="N39" s="1">
        <v>2115</v>
      </c>
      <c r="O39" s="4">
        <f t="shared" si="1"/>
        <v>21.581632653061224</v>
      </c>
      <c r="P39" s="1">
        <v>98</v>
      </c>
      <c r="Q39" s="1">
        <v>1083.3650809522701</v>
      </c>
      <c r="R39" s="1">
        <v>6106.5097172339401</v>
      </c>
      <c r="S39" s="5">
        <f t="shared" si="2"/>
        <v>6105.5097172339401</v>
      </c>
      <c r="T39" s="1">
        <v>1335</v>
      </c>
      <c r="U39" s="1">
        <v>160</v>
      </c>
      <c r="V39" s="1">
        <v>126</v>
      </c>
      <c r="W39" s="1">
        <v>8933</v>
      </c>
      <c r="X39" s="1">
        <v>0.52727694219743104</v>
      </c>
    </row>
    <row r="40" spans="1:24" x14ac:dyDescent="0.3">
      <c r="A40" s="2">
        <v>45320</v>
      </c>
      <c r="B40" s="1" t="s">
        <v>40</v>
      </c>
      <c r="C40" s="1" t="s">
        <v>35</v>
      </c>
      <c r="D40" s="1" t="s">
        <v>36</v>
      </c>
      <c r="E40" s="1" t="s">
        <v>28</v>
      </c>
      <c r="F40" s="1">
        <v>21</v>
      </c>
      <c r="G40" s="1" t="str" cm="1">
        <f t="array" ref="G40">_xlfn.IFS(F40&lt;=25,"YOUTH",F40&lt;=48,"ADULT",TRUE,"SENIOR")</f>
        <v>YOUTH</v>
      </c>
      <c r="H40" s="1" t="s">
        <v>29</v>
      </c>
      <c r="I40" s="1" t="s">
        <v>37</v>
      </c>
      <c r="J40" s="1" t="s">
        <v>23</v>
      </c>
      <c r="K40" s="1" t="s">
        <v>31</v>
      </c>
      <c r="L40" s="1">
        <v>37145</v>
      </c>
      <c r="M40" s="3">
        <f t="shared" si="0"/>
        <v>0.13371920850720151</v>
      </c>
      <c r="N40" s="1">
        <v>4967</v>
      </c>
      <c r="O40" s="4">
        <f t="shared" si="1"/>
        <v>9.739215686274509</v>
      </c>
      <c r="P40" s="1">
        <v>510</v>
      </c>
      <c r="Q40" s="1">
        <v>933.20273448699902</v>
      </c>
      <c r="R40" s="1">
        <v>23751.483549825702</v>
      </c>
      <c r="S40" s="5">
        <f t="shared" si="2"/>
        <v>23750.483549825702</v>
      </c>
      <c r="T40" s="1">
        <v>639</v>
      </c>
      <c r="U40" s="1">
        <v>55</v>
      </c>
      <c r="V40" s="1">
        <v>47</v>
      </c>
      <c r="W40" s="1">
        <v>553</v>
      </c>
      <c r="X40" s="1">
        <v>0.70715955691997801</v>
      </c>
    </row>
    <row r="41" spans="1:24" x14ac:dyDescent="0.3">
      <c r="A41" s="2">
        <v>45307</v>
      </c>
      <c r="B41" s="1" t="s">
        <v>40</v>
      </c>
      <c r="C41" s="1" t="s">
        <v>26</v>
      </c>
      <c r="D41" s="1" t="s">
        <v>36</v>
      </c>
      <c r="E41" s="1" t="s">
        <v>28</v>
      </c>
      <c r="F41" s="1">
        <v>42</v>
      </c>
      <c r="G41" s="1" t="str" cm="1">
        <f t="array" ref="G41">_xlfn.IFS(F41&lt;=25,"YOUTH",F41&lt;=48,"ADULT",TRUE,"SENIOR")</f>
        <v>ADULT</v>
      </c>
      <c r="H41" s="1" t="s">
        <v>29</v>
      </c>
      <c r="I41" s="1" t="s">
        <v>22</v>
      </c>
      <c r="J41" s="1" t="s">
        <v>23</v>
      </c>
      <c r="K41" s="1" t="s">
        <v>24</v>
      </c>
      <c r="L41" s="1">
        <v>23412</v>
      </c>
      <c r="M41" s="3">
        <f t="shared" si="0"/>
        <v>8.8587049376388172E-2</v>
      </c>
      <c r="N41" s="1">
        <v>2074</v>
      </c>
      <c r="O41" s="4">
        <f t="shared" si="1"/>
        <v>4.1232604373757455</v>
      </c>
      <c r="P41" s="1">
        <v>503</v>
      </c>
      <c r="Q41" s="1">
        <v>2256.36948188416</v>
      </c>
      <c r="R41" s="1">
        <v>4712.0245759999998</v>
      </c>
      <c r="S41" s="5">
        <f t="shared" si="2"/>
        <v>4711.0245759999998</v>
      </c>
      <c r="T41" s="1">
        <v>411</v>
      </c>
      <c r="U41" s="1">
        <v>25</v>
      </c>
      <c r="V41" s="1">
        <v>18</v>
      </c>
      <c r="W41" s="1">
        <v>4638</v>
      </c>
      <c r="X41" s="1">
        <v>0.83273565547445905</v>
      </c>
    </row>
    <row r="42" spans="1:24" x14ac:dyDescent="0.3">
      <c r="A42" s="2">
        <v>45326</v>
      </c>
      <c r="B42" s="1" t="s">
        <v>25</v>
      </c>
      <c r="C42" s="1" t="s">
        <v>35</v>
      </c>
      <c r="D42" s="1" t="s">
        <v>19</v>
      </c>
      <c r="E42" s="1" t="s">
        <v>20</v>
      </c>
      <c r="F42" s="1">
        <v>31</v>
      </c>
      <c r="G42" s="1" t="str" cm="1">
        <f t="array" ref="G42">_xlfn.IFS(F42&lt;=25,"YOUTH",F42&lt;=48,"ADULT",TRUE,"SENIOR")</f>
        <v>ADULT</v>
      </c>
      <c r="H42" s="1" t="s">
        <v>29</v>
      </c>
      <c r="I42" s="1" t="s">
        <v>43</v>
      </c>
      <c r="J42" s="1" t="s">
        <v>38</v>
      </c>
      <c r="K42" s="1" t="s">
        <v>24</v>
      </c>
      <c r="L42" s="1">
        <v>25078</v>
      </c>
      <c r="M42" s="3">
        <f t="shared" si="0"/>
        <v>3.6007656112927666E-2</v>
      </c>
      <c r="N42" s="1">
        <v>903</v>
      </c>
      <c r="O42" s="4">
        <f t="shared" si="1"/>
        <v>4.3205741626794261</v>
      </c>
      <c r="P42" s="1">
        <v>209</v>
      </c>
      <c r="Q42" s="1">
        <v>702.52116986772501</v>
      </c>
      <c r="R42" s="1">
        <v>4484.0716247764503</v>
      </c>
      <c r="S42" s="5">
        <f t="shared" si="2"/>
        <v>4483.0716247764503</v>
      </c>
      <c r="T42" s="1">
        <v>514</v>
      </c>
      <c r="U42" s="1">
        <v>56</v>
      </c>
      <c r="V42" s="1">
        <v>18</v>
      </c>
      <c r="W42" s="1">
        <v>1787</v>
      </c>
      <c r="X42" s="1">
        <v>0.87686737932717596</v>
      </c>
    </row>
    <row r="43" spans="1:24" x14ac:dyDescent="0.3">
      <c r="A43" s="2">
        <v>45338</v>
      </c>
      <c r="B43" s="1" t="s">
        <v>25</v>
      </c>
      <c r="C43" s="1" t="s">
        <v>26</v>
      </c>
      <c r="D43" s="1" t="s">
        <v>19</v>
      </c>
      <c r="E43" s="1" t="s">
        <v>20</v>
      </c>
      <c r="F43" s="1">
        <v>26</v>
      </c>
      <c r="G43" s="1" t="str" cm="1">
        <f t="array" ref="G43">_xlfn.IFS(F43&lt;=25,"YOUTH",F43&lt;=48,"ADULT",TRUE,"SENIOR")</f>
        <v>ADULT</v>
      </c>
      <c r="H43" s="1" t="s">
        <v>21</v>
      </c>
      <c r="I43" s="1" t="s">
        <v>43</v>
      </c>
      <c r="J43" s="1" t="s">
        <v>23</v>
      </c>
      <c r="K43" s="1" t="s">
        <v>31</v>
      </c>
      <c r="L43" s="1">
        <v>23580</v>
      </c>
      <c r="M43" s="3">
        <f t="shared" si="0"/>
        <v>4.139100932994063E-2</v>
      </c>
      <c r="N43" s="1">
        <v>976</v>
      </c>
      <c r="O43" s="4">
        <f t="shared" si="1"/>
        <v>4.4976958525345623</v>
      </c>
      <c r="P43" s="1">
        <v>217</v>
      </c>
      <c r="Q43" s="1">
        <v>3409.9257031585498</v>
      </c>
      <c r="R43" s="1">
        <v>12480.878667557099</v>
      </c>
      <c r="S43" s="5">
        <f t="shared" si="2"/>
        <v>12479.878667557099</v>
      </c>
      <c r="T43" s="1">
        <v>119</v>
      </c>
      <c r="U43" s="1">
        <v>12</v>
      </c>
      <c r="V43" s="1">
        <v>10</v>
      </c>
      <c r="W43" s="1">
        <v>4012</v>
      </c>
      <c r="X43" s="1">
        <v>0.45781552141881798</v>
      </c>
    </row>
    <row r="44" spans="1:24" x14ac:dyDescent="0.3">
      <c r="A44" s="2">
        <v>45350</v>
      </c>
      <c r="B44" s="1" t="s">
        <v>25</v>
      </c>
      <c r="C44" s="1" t="s">
        <v>18</v>
      </c>
      <c r="D44" s="1" t="s">
        <v>36</v>
      </c>
      <c r="E44" s="1" t="s">
        <v>28</v>
      </c>
      <c r="F44" s="1">
        <v>43</v>
      </c>
      <c r="G44" s="1" t="str" cm="1">
        <f t="array" ref="G44">_xlfn.IFS(F44&lt;=25,"YOUTH",F44&lt;=48,"ADULT",TRUE,"SENIOR")</f>
        <v>ADULT</v>
      </c>
      <c r="H44" s="1" t="s">
        <v>29</v>
      </c>
      <c r="I44" s="1" t="s">
        <v>22</v>
      </c>
      <c r="J44" s="1" t="s">
        <v>23</v>
      </c>
      <c r="K44" s="1" t="s">
        <v>39</v>
      </c>
      <c r="L44" s="1">
        <v>15855</v>
      </c>
      <c r="M44" s="3">
        <f t="shared" si="0"/>
        <v>7.9091769157994318E-2</v>
      </c>
      <c r="N44" s="1">
        <v>1254</v>
      </c>
      <c r="O44" s="4">
        <f t="shared" si="1"/>
        <v>8.0903225806451609</v>
      </c>
      <c r="P44" s="1">
        <v>155</v>
      </c>
      <c r="Q44" s="1">
        <v>609.64563735673403</v>
      </c>
      <c r="R44" s="1">
        <v>2458.8591044343898</v>
      </c>
      <c r="S44" s="5">
        <f t="shared" si="2"/>
        <v>2457.8591044343898</v>
      </c>
      <c r="T44" s="1">
        <v>448</v>
      </c>
      <c r="U44" s="1">
        <v>40</v>
      </c>
      <c r="V44" s="1">
        <v>15</v>
      </c>
      <c r="W44" s="1">
        <v>701</v>
      </c>
      <c r="X44" s="1">
        <v>0.59600598400000004</v>
      </c>
    </row>
    <row r="45" spans="1:24" x14ac:dyDescent="0.3">
      <c r="A45" s="2">
        <v>45350</v>
      </c>
      <c r="B45" s="1" t="s">
        <v>34</v>
      </c>
      <c r="C45" s="1" t="s">
        <v>26</v>
      </c>
      <c r="D45" s="1" t="s">
        <v>36</v>
      </c>
      <c r="E45" s="1" t="s">
        <v>28</v>
      </c>
      <c r="F45" s="1">
        <v>19</v>
      </c>
      <c r="G45" s="1" t="str" cm="1">
        <f t="array" ref="G45">_xlfn.IFS(F45&lt;=25,"YOUTH",F45&lt;=48,"ADULT",TRUE,"SENIOR")</f>
        <v>YOUTH</v>
      </c>
      <c r="H45" s="1" t="s">
        <v>21</v>
      </c>
      <c r="I45" s="1" t="s">
        <v>22</v>
      </c>
      <c r="J45" s="1" t="s">
        <v>38</v>
      </c>
      <c r="K45" s="1" t="s">
        <v>31</v>
      </c>
      <c r="L45" s="1">
        <v>37169</v>
      </c>
      <c r="M45" s="3">
        <f t="shared" si="0"/>
        <v>0.14460975544136243</v>
      </c>
      <c r="N45" s="1">
        <v>5375</v>
      </c>
      <c r="O45" s="4">
        <f t="shared" si="1"/>
        <v>4.6058269065981152</v>
      </c>
      <c r="P45" s="1">
        <v>1167</v>
      </c>
      <c r="Q45" s="1">
        <v>2215.7914571638098</v>
      </c>
      <c r="R45" s="1">
        <v>58818.235886098199</v>
      </c>
      <c r="S45" s="5">
        <f t="shared" si="2"/>
        <v>58817.235886098199</v>
      </c>
      <c r="T45" s="1">
        <v>521</v>
      </c>
      <c r="U45" s="1">
        <v>49</v>
      </c>
      <c r="V45" s="1">
        <v>17</v>
      </c>
      <c r="W45" s="1">
        <v>815</v>
      </c>
      <c r="X45" s="1">
        <v>0.75180444306472805</v>
      </c>
    </row>
    <row r="46" spans="1:24" x14ac:dyDescent="0.3">
      <c r="A46" s="2">
        <v>45322</v>
      </c>
      <c r="B46" s="1" t="s">
        <v>40</v>
      </c>
      <c r="C46" s="1" t="s">
        <v>35</v>
      </c>
      <c r="D46" s="1" t="s">
        <v>32</v>
      </c>
      <c r="E46" s="1" t="s">
        <v>28</v>
      </c>
      <c r="F46" s="1">
        <v>37</v>
      </c>
      <c r="G46" s="1" t="str" cm="1">
        <f t="array" ref="G46">_xlfn.IFS(F46&lt;=25,"YOUTH",F46&lt;=48,"ADULT",TRUE,"SENIOR")</f>
        <v>ADULT</v>
      </c>
      <c r="H46" s="1" t="s">
        <v>29</v>
      </c>
      <c r="I46" s="1" t="s">
        <v>43</v>
      </c>
      <c r="J46" s="1" t="s">
        <v>38</v>
      </c>
      <c r="K46" s="1" t="s">
        <v>31</v>
      </c>
      <c r="L46" s="1">
        <v>47404</v>
      </c>
      <c r="M46" s="3">
        <f t="shared" si="0"/>
        <v>0.11773268078643152</v>
      </c>
      <c r="N46" s="1">
        <v>5581</v>
      </c>
      <c r="O46" s="4">
        <f t="shared" si="1"/>
        <v>32.260115606936417</v>
      </c>
      <c r="P46" s="1">
        <v>173</v>
      </c>
      <c r="Q46" s="1">
        <v>6016.8624051708603</v>
      </c>
      <c r="R46" s="1">
        <v>9639.0161762007701</v>
      </c>
      <c r="S46" s="5">
        <f t="shared" si="2"/>
        <v>9638.0161762007701</v>
      </c>
      <c r="T46" s="1">
        <v>707</v>
      </c>
      <c r="U46" s="1">
        <v>73</v>
      </c>
      <c r="V46" s="1">
        <v>25</v>
      </c>
      <c r="W46" s="1">
        <v>3881</v>
      </c>
      <c r="X46" s="1">
        <v>0.419097577451508</v>
      </c>
    </row>
    <row r="47" spans="1:24" x14ac:dyDescent="0.3">
      <c r="A47" s="2">
        <v>45295</v>
      </c>
      <c r="B47" s="1" t="s">
        <v>40</v>
      </c>
      <c r="C47" s="1" t="s">
        <v>41</v>
      </c>
      <c r="D47" s="1" t="s">
        <v>36</v>
      </c>
      <c r="E47" s="1" t="s">
        <v>28</v>
      </c>
      <c r="F47" s="1">
        <v>45</v>
      </c>
      <c r="G47" s="1" t="str" cm="1">
        <f t="array" ref="G47">_xlfn.IFS(F47&lt;=25,"YOUTH",F47&lt;=48,"ADULT",TRUE,"SENIOR")</f>
        <v>ADULT</v>
      </c>
      <c r="H47" s="1" t="s">
        <v>21</v>
      </c>
      <c r="I47" s="1" t="s">
        <v>37</v>
      </c>
      <c r="J47" s="1" t="s">
        <v>23</v>
      </c>
      <c r="K47" s="1" t="s">
        <v>31</v>
      </c>
      <c r="L47" s="1">
        <v>20569</v>
      </c>
      <c r="M47" s="3">
        <f t="shared" si="0"/>
        <v>7.8321746317273566E-2</v>
      </c>
      <c r="N47" s="1">
        <v>1611</v>
      </c>
      <c r="O47" s="4">
        <f t="shared" si="1"/>
        <v>18.517241379310345</v>
      </c>
      <c r="P47" s="1">
        <v>87</v>
      </c>
      <c r="Q47" s="1">
        <v>996.28506177065105</v>
      </c>
      <c r="R47" s="1">
        <v>2301.7822168713801</v>
      </c>
      <c r="S47" s="5">
        <f t="shared" si="2"/>
        <v>2300.7822168713801</v>
      </c>
      <c r="T47" s="1">
        <v>192</v>
      </c>
      <c r="U47" s="1">
        <v>38</v>
      </c>
      <c r="V47" s="1">
        <v>11</v>
      </c>
      <c r="W47" s="1">
        <v>3562</v>
      </c>
      <c r="X47" s="1">
        <v>0.77983836008295404</v>
      </c>
    </row>
    <row r="48" spans="1:24" x14ac:dyDescent="0.3">
      <c r="A48" s="2">
        <v>45328</v>
      </c>
      <c r="B48" s="1" t="s">
        <v>34</v>
      </c>
      <c r="C48" s="1" t="s">
        <v>41</v>
      </c>
      <c r="D48" s="1" t="s">
        <v>19</v>
      </c>
      <c r="E48" s="1" t="s">
        <v>28</v>
      </c>
      <c r="F48" s="1">
        <v>24</v>
      </c>
      <c r="G48" s="1" t="str" cm="1">
        <f t="array" ref="G48">_xlfn.IFS(F48&lt;=25,"YOUTH",F48&lt;=48,"ADULT",TRUE,"SENIOR")</f>
        <v>YOUTH</v>
      </c>
      <c r="H48" s="1" t="s">
        <v>21</v>
      </c>
      <c r="I48" s="1" t="s">
        <v>43</v>
      </c>
      <c r="J48" s="1" t="s">
        <v>23</v>
      </c>
      <c r="K48" s="1" t="s">
        <v>39</v>
      </c>
      <c r="L48" s="1">
        <v>49506</v>
      </c>
      <c r="M48" s="3">
        <f t="shared" si="0"/>
        <v>5.7265785965337532E-2</v>
      </c>
      <c r="N48" s="1">
        <v>2835</v>
      </c>
      <c r="O48" s="4">
        <f t="shared" si="1"/>
        <v>8.6963190184049086</v>
      </c>
      <c r="P48" s="1">
        <v>326</v>
      </c>
      <c r="Q48" s="1">
        <v>2553.81154555275</v>
      </c>
      <c r="R48" s="1">
        <v>8459.4834614076299</v>
      </c>
      <c r="S48" s="5">
        <f t="shared" si="2"/>
        <v>8458.4834614076299</v>
      </c>
      <c r="T48" s="1">
        <v>715</v>
      </c>
      <c r="U48" s="1">
        <v>119</v>
      </c>
      <c r="V48" s="1">
        <v>21</v>
      </c>
      <c r="W48" s="1">
        <v>2572</v>
      </c>
      <c r="X48" s="1">
        <v>0.69041863554210403</v>
      </c>
    </row>
    <row r="49" spans="1:24" x14ac:dyDescent="0.3">
      <c r="A49" s="2">
        <v>45308</v>
      </c>
      <c r="B49" s="1" t="s">
        <v>25</v>
      </c>
      <c r="C49" s="1" t="s">
        <v>41</v>
      </c>
      <c r="D49" s="1" t="s">
        <v>32</v>
      </c>
      <c r="E49" s="1" t="s">
        <v>20</v>
      </c>
      <c r="F49" s="1">
        <v>25</v>
      </c>
      <c r="G49" s="1" t="str" cm="1">
        <f t="array" ref="G49">_xlfn.IFS(F49&lt;=25,"YOUTH",F49&lt;=48,"ADULT",TRUE,"SENIOR")</f>
        <v>YOUTH</v>
      </c>
      <c r="H49" s="1" t="s">
        <v>29</v>
      </c>
      <c r="I49" s="1" t="s">
        <v>37</v>
      </c>
      <c r="J49" s="1" t="s">
        <v>23</v>
      </c>
      <c r="K49" s="1" t="s">
        <v>31</v>
      </c>
      <c r="L49" s="1">
        <v>26738</v>
      </c>
      <c r="M49" s="3">
        <f t="shared" si="0"/>
        <v>8.6880095743885111E-2</v>
      </c>
      <c r="N49" s="1">
        <v>2323</v>
      </c>
      <c r="O49" s="4">
        <f t="shared" si="1"/>
        <v>7.6414473684210522</v>
      </c>
      <c r="P49" s="1">
        <v>304</v>
      </c>
      <c r="Q49" s="1">
        <v>2767.3873917922301</v>
      </c>
      <c r="R49" s="1">
        <v>12542.180980692699</v>
      </c>
      <c r="S49" s="5">
        <f t="shared" si="2"/>
        <v>12541.180980692699</v>
      </c>
      <c r="T49" s="1">
        <v>671</v>
      </c>
      <c r="U49" s="1">
        <v>40</v>
      </c>
      <c r="V49" s="1">
        <v>63</v>
      </c>
      <c r="W49" s="1">
        <v>1049</v>
      </c>
      <c r="X49" s="1">
        <v>0.55871145357101404</v>
      </c>
    </row>
    <row r="50" spans="1:24" x14ac:dyDescent="0.3">
      <c r="A50" s="2">
        <v>45330</v>
      </c>
      <c r="B50" s="1" t="s">
        <v>34</v>
      </c>
      <c r="C50" s="1" t="s">
        <v>26</v>
      </c>
      <c r="D50" s="1" t="s">
        <v>19</v>
      </c>
      <c r="E50" s="1" t="s">
        <v>20</v>
      </c>
      <c r="F50" s="1">
        <v>52</v>
      </c>
      <c r="G50" s="1" t="str" cm="1">
        <f t="array" ref="G50">_xlfn.IFS(F50&lt;=25,"YOUTH",F50&lt;=48,"ADULT",TRUE,"SENIOR")</f>
        <v>SENIOR</v>
      </c>
      <c r="H50" s="1" t="s">
        <v>29</v>
      </c>
      <c r="I50" s="1" t="s">
        <v>22</v>
      </c>
      <c r="J50" s="1" t="s">
        <v>23</v>
      </c>
      <c r="K50" s="1" t="s">
        <v>39</v>
      </c>
      <c r="L50" s="1">
        <v>7772</v>
      </c>
      <c r="M50" s="3">
        <f t="shared" si="0"/>
        <v>0.11464230571281524</v>
      </c>
      <c r="N50" s="1">
        <v>891</v>
      </c>
      <c r="O50" s="4">
        <f t="shared" si="1"/>
        <v>12.549295774647888</v>
      </c>
      <c r="P50" s="1">
        <v>71</v>
      </c>
      <c r="Q50" s="1">
        <v>434.38634036601098</v>
      </c>
      <c r="R50" s="1">
        <v>4329.8364256632303</v>
      </c>
      <c r="S50" s="5">
        <f t="shared" si="2"/>
        <v>4328.8364256632303</v>
      </c>
      <c r="T50" s="1">
        <v>194</v>
      </c>
      <c r="U50" s="1">
        <v>35</v>
      </c>
      <c r="V50" s="1">
        <v>18</v>
      </c>
      <c r="W50" s="1">
        <v>1421</v>
      </c>
      <c r="X50" s="1">
        <v>0.848059947826727</v>
      </c>
    </row>
    <row r="51" spans="1:24" x14ac:dyDescent="0.3">
      <c r="A51" s="2">
        <v>45339</v>
      </c>
      <c r="B51" s="1" t="s">
        <v>25</v>
      </c>
      <c r="C51" s="1" t="s">
        <v>18</v>
      </c>
      <c r="D51" s="1" t="s">
        <v>27</v>
      </c>
      <c r="E51" s="1" t="s">
        <v>20</v>
      </c>
      <c r="F51" s="1">
        <v>31</v>
      </c>
      <c r="G51" s="1" t="str" cm="1">
        <f t="array" ref="G51">_xlfn.IFS(F51&lt;=25,"YOUTH",F51&lt;=48,"ADULT",TRUE,"SENIOR")</f>
        <v>ADULT</v>
      </c>
      <c r="H51" s="1" t="s">
        <v>21</v>
      </c>
      <c r="I51" s="1" t="s">
        <v>22</v>
      </c>
      <c r="J51" s="1" t="s">
        <v>38</v>
      </c>
      <c r="K51" s="1" t="s">
        <v>39</v>
      </c>
      <c r="L51" s="1">
        <v>25874</v>
      </c>
      <c r="M51" s="3">
        <f t="shared" si="0"/>
        <v>0.11973409600371029</v>
      </c>
      <c r="N51" s="1">
        <v>3098</v>
      </c>
      <c r="O51" s="4">
        <f t="shared" si="1"/>
        <v>9.8349206349206355</v>
      </c>
      <c r="P51" s="1">
        <v>315</v>
      </c>
      <c r="Q51" s="1">
        <v>1248.8912107009801</v>
      </c>
      <c r="R51" s="1">
        <v>6159.4794841785097</v>
      </c>
      <c r="S51" s="5">
        <f t="shared" si="2"/>
        <v>6158.4794841785097</v>
      </c>
      <c r="T51" s="1">
        <v>734</v>
      </c>
      <c r="U51" s="1">
        <v>106</v>
      </c>
      <c r="V51" s="1">
        <v>71</v>
      </c>
      <c r="W51" s="1">
        <v>4871</v>
      </c>
      <c r="X51" s="1">
        <v>0.55952789176267603</v>
      </c>
    </row>
    <row r="52" spans="1:24" x14ac:dyDescent="0.3">
      <c r="A52" s="2">
        <v>45337</v>
      </c>
      <c r="B52" s="1" t="s">
        <v>40</v>
      </c>
      <c r="C52" s="1" t="s">
        <v>26</v>
      </c>
      <c r="D52" s="1" t="s">
        <v>32</v>
      </c>
      <c r="E52" s="1" t="s">
        <v>28</v>
      </c>
      <c r="F52" s="1">
        <v>34</v>
      </c>
      <c r="G52" s="1" t="str" cm="1">
        <f t="array" ref="G52">_xlfn.IFS(F52&lt;=25,"YOUTH",F52&lt;=48,"ADULT",TRUE,"SENIOR")</f>
        <v>ADULT</v>
      </c>
      <c r="H52" s="1" t="s">
        <v>42</v>
      </c>
      <c r="I52" s="1" t="s">
        <v>37</v>
      </c>
      <c r="J52" s="1" t="s">
        <v>30</v>
      </c>
      <c r="K52" s="1" t="s">
        <v>31</v>
      </c>
      <c r="L52" s="1">
        <v>20731</v>
      </c>
      <c r="M52" s="3">
        <f t="shared" si="0"/>
        <v>5.5424243885967873E-2</v>
      </c>
      <c r="N52" s="1">
        <v>1149</v>
      </c>
      <c r="O52" s="4">
        <f t="shared" si="1"/>
        <v>17.676923076923078</v>
      </c>
      <c r="P52" s="1">
        <v>65</v>
      </c>
      <c r="Q52" s="1">
        <v>1099.6365653851699</v>
      </c>
      <c r="R52" s="1">
        <v>4301.8158782791497</v>
      </c>
      <c r="S52" s="5">
        <f t="shared" si="2"/>
        <v>4300.8158782791497</v>
      </c>
      <c r="T52" s="1">
        <v>312</v>
      </c>
      <c r="U52" s="1">
        <v>57</v>
      </c>
      <c r="V52" s="1">
        <v>7</v>
      </c>
      <c r="W52" s="1">
        <v>256</v>
      </c>
      <c r="X52" s="1">
        <v>0.94527827541209097</v>
      </c>
    </row>
    <row r="53" spans="1:24" x14ac:dyDescent="0.3">
      <c r="A53" s="2">
        <v>45317</v>
      </c>
      <c r="B53" s="1" t="s">
        <v>17</v>
      </c>
      <c r="C53" s="1" t="s">
        <v>41</v>
      </c>
      <c r="D53" s="1" t="s">
        <v>19</v>
      </c>
      <c r="E53" s="1" t="s">
        <v>28</v>
      </c>
      <c r="F53" s="1">
        <v>53</v>
      </c>
      <c r="G53" s="1" t="str" cm="1">
        <f t="array" ref="G53">_xlfn.IFS(F53&lt;=25,"YOUTH",F53&lt;=48,"ADULT",TRUE,"SENIOR")</f>
        <v>SENIOR</v>
      </c>
      <c r="H53" s="1" t="s">
        <v>21</v>
      </c>
      <c r="I53" s="1" t="s">
        <v>22</v>
      </c>
      <c r="J53" s="1" t="s">
        <v>38</v>
      </c>
      <c r="K53" s="1" t="s">
        <v>39</v>
      </c>
      <c r="L53" s="1">
        <v>11131</v>
      </c>
      <c r="M53" s="3">
        <f t="shared" si="0"/>
        <v>0.11095139699937112</v>
      </c>
      <c r="N53" s="1">
        <v>1235</v>
      </c>
      <c r="O53" s="4">
        <f t="shared" si="1"/>
        <v>7.5766871165644174</v>
      </c>
      <c r="P53" s="1">
        <v>163</v>
      </c>
      <c r="Q53" s="1">
        <v>932.60165099999995</v>
      </c>
      <c r="R53" s="1">
        <v>7162.6624656690401</v>
      </c>
      <c r="S53" s="5">
        <f t="shared" si="2"/>
        <v>7161.6624656690401</v>
      </c>
      <c r="T53" s="1">
        <v>252</v>
      </c>
      <c r="U53" s="1">
        <v>25</v>
      </c>
      <c r="V53" s="1">
        <v>24</v>
      </c>
      <c r="W53" s="1">
        <v>1649</v>
      </c>
      <c r="X53" s="1">
        <v>0.84900360401233699</v>
      </c>
    </row>
    <row r="54" spans="1:24" x14ac:dyDescent="0.3">
      <c r="A54" s="2">
        <v>45339</v>
      </c>
      <c r="B54" s="1" t="s">
        <v>25</v>
      </c>
      <c r="C54" s="1" t="s">
        <v>35</v>
      </c>
      <c r="D54" s="1" t="s">
        <v>36</v>
      </c>
      <c r="E54" s="1" t="s">
        <v>20</v>
      </c>
      <c r="F54" s="1">
        <v>57</v>
      </c>
      <c r="G54" s="1" t="str" cm="1">
        <f t="array" ref="G54">_xlfn.IFS(F54&lt;=25,"YOUTH",F54&lt;=48,"ADULT",TRUE,"SENIOR")</f>
        <v>SENIOR</v>
      </c>
      <c r="H54" s="1" t="s">
        <v>21</v>
      </c>
      <c r="I54" s="1" t="s">
        <v>37</v>
      </c>
      <c r="J54" s="1" t="s">
        <v>38</v>
      </c>
      <c r="K54" s="1" t="s">
        <v>39</v>
      </c>
      <c r="L54" s="1">
        <v>1788</v>
      </c>
      <c r="M54" s="3">
        <f t="shared" si="0"/>
        <v>0.1017897091722595</v>
      </c>
      <c r="N54" s="1">
        <v>182</v>
      </c>
      <c r="O54" s="4">
        <f t="shared" si="1"/>
        <v>5.0555555555555554</v>
      </c>
      <c r="P54" s="1">
        <v>36</v>
      </c>
      <c r="Q54" s="1">
        <v>260.32025441770497</v>
      </c>
      <c r="R54" s="1">
        <v>2501.5759429643199</v>
      </c>
      <c r="S54" s="5">
        <f t="shared" si="2"/>
        <v>2500.5759429643199</v>
      </c>
      <c r="T54" s="1">
        <v>31</v>
      </c>
      <c r="U54" s="1">
        <v>3</v>
      </c>
      <c r="V54" s="1">
        <v>3</v>
      </c>
      <c r="W54" s="1">
        <v>122</v>
      </c>
      <c r="X54" s="1">
        <v>0.78938927576069795</v>
      </c>
    </row>
    <row r="55" spans="1:24" x14ac:dyDescent="0.3">
      <c r="A55" s="2">
        <v>45330</v>
      </c>
      <c r="B55" s="1" t="s">
        <v>40</v>
      </c>
      <c r="C55" s="1" t="s">
        <v>41</v>
      </c>
      <c r="D55" s="1" t="s">
        <v>27</v>
      </c>
      <c r="E55" s="1" t="s">
        <v>20</v>
      </c>
      <c r="F55" s="1">
        <v>21</v>
      </c>
      <c r="G55" s="1" t="str" cm="1">
        <f t="array" ref="G55">_xlfn.IFS(F55&lt;=25,"YOUTH",F55&lt;=48,"ADULT",TRUE,"SENIOR")</f>
        <v>YOUTH</v>
      </c>
      <c r="H55" s="1" t="s">
        <v>42</v>
      </c>
      <c r="I55" s="1" t="s">
        <v>33</v>
      </c>
      <c r="J55" s="1" t="s">
        <v>23</v>
      </c>
      <c r="K55" s="1" t="s">
        <v>31</v>
      </c>
      <c r="L55" s="1">
        <v>17184</v>
      </c>
      <c r="M55" s="3">
        <f t="shared" si="0"/>
        <v>0.144262104283054</v>
      </c>
      <c r="N55" s="1">
        <v>2479</v>
      </c>
      <c r="O55" s="4">
        <f t="shared" si="1"/>
        <v>5.81924882629108</v>
      </c>
      <c r="P55" s="1">
        <v>426</v>
      </c>
      <c r="Q55" s="1">
        <v>2202.8329824124498</v>
      </c>
      <c r="R55" s="1">
        <v>4611.4040174304801</v>
      </c>
      <c r="S55" s="5">
        <f t="shared" si="2"/>
        <v>4610.4040174304801</v>
      </c>
      <c r="T55" s="1">
        <v>431</v>
      </c>
      <c r="U55" s="1">
        <v>79</v>
      </c>
      <c r="V55" s="1">
        <v>41</v>
      </c>
      <c r="W55" s="1">
        <v>1395</v>
      </c>
      <c r="X55" s="1">
        <v>0.43374115687945503</v>
      </c>
    </row>
    <row r="56" spans="1:24" x14ac:dyDescent="0.3">
      <c r="A56" s="2">
        <v>45332</v>
      </c>
      <c r="B56" s="1" t="s">
        <v>40</v>
      </c>
      <c r="C56" s="1" t="s">
        <v>35</v>
      </c>
      <c r="D56" s="1" t="s">
        <v>19</v>
      </c>
      <c r="E56" s="1" t="s">
        <v>28</v>
      </c>
      <c r="F56" s="1">
        <v>19</v>
      </c>
      <c r="G56" s="1" t="str" cm="1">
        <f t="array" ref="G56">_xlfn.IFS(F56&lt;=25,"YOUTH",F56&lt;=48,"ADULT",TRUE,"SENIOR")</f>
        <v>YOUTH</v>
      </c>
      <c r="H56" s="1" t="s">
        <v>21</v>
      </c>
      <c r="I56" s="1" t="s">
        <v>43</v>
      </c>
      <c r="J56" s="1" t="s">
        <v>38</v>
      </c>
      <c r="K56" s="1" t="s">
        <v>31</v>
      </c>
      <c r="L56" s="1">
        <v>31897</v>
      </c>
      <c r="M56" s="3">
        <f t="shared" si="0"/>
        <v>0.14032667648995203</v>
      </c>
      <c r="N56" s="1">
        <v>4476</v>
      </c>
      <c r="O56" s="4">
        <f t="shared" si="1"/>
        <v>22.38</v>
      </c>
      <c r="P56" s="1">
        <v>200</v>
      </c>
      <c r="Q56" s="1">
        <v>1818.1077691278699</v>
      </c>
      <c r="R56" s="1">
        <v>2645.30777458786</v>
      </c>
      <c r="S56" s="5">
        <f t="shared" si="2"/>
        <v>2644.30777458786</v>
      </c>
      <c r="T56" s="1">
        <v>727</v>
      </c>
      <c r="U56" s="1">
        <v>66</v>
      </c>
      <c r="V56" s="1">
        <v>53</v>
      </c>
      <c r="W56" s="1">
        <v>3161</v>
      </c>
      <c r="X56" s="1">
        <v>0.89737070459299995</v>
      </c>
    </row>
    <row r="57" spans="1:24" x14ac:dyDescent="0.3">
      <c r="A57" s="2">
        <v>45295</v>
      </c>
      <c r="B57" s="1" t="s">
        <v>17</v>
      </c>
      <c r="C57" s="1" t="s">
        <v>18</v>
      </c>
      <c r="D57" s="1" t="s">
        <v>32</v>
      </c>
      <c r="E57" s="1" t="s">
        <v>20</v>
      </c>
      <c r="F57" s="1">
        <v>23</v>
      </c>
      <c r="G57" s="1" t="str" cm="1">
        <f t="array" ref="G57">_xlfn.IFS(F57&lt;=25,"YOUTH",F57&lt;=48,"ADULT",TRUE,"SENIOR")</f>
        <v>YOUTH</v>
      </c>
      <c r="H57" s="1" t="s">
        <v>29</v>
      </c>
      <c r="I57" s="1" t="s">
        <v>33</v>
      </c>
      <c r="J57" s="1" t="s">
        <v>38</v>
      </c>
      <c r="K57" s="1" t="s">
        <v>39</v>
      </c>
      <c r="L57" s="1">
        <v>3889</v>
      </c>
      <c r="M57" s="3">
        <f t="shared" si="0"/>
        <v>0.12033941887374647</v>
      </c>
      <c r="N57" s="1">
        <v>468</v>
      </c>
      <c r="O57" s="4">
        <f t="shared" si="1"/>
        <v>7.6721311475409832</v>
      </c>
      <c r="P57" s="1">
        <v>61</v>
      </c>
      <c r="Q57" s="1">
        <v>261.49059302038302</v>
      </c>
      <c r="R57" s="1">
        <v>3582.6347517239501</v>
      </c>
      <c r="S57" s="5">
        <f t="shared" si="2"/>
        <v>3581.6347517239501</v>
      </c>
      <c r="T57" s="1">
        <v>55</v>
      </c>
      <c r="U57" s="1">
        <v>10</v>
      </c>
      <c r="V57" s="1">
        <v>4</v>
      </c>
      <c r="W57" s="1">
        <v>354</v>
      </c>
      <c r="X57" s="1">
        <v>0.83453041800000005</v>
      </c>
    </row>
    <row r="58" spans="1:24" x14ac:dyDescent="0.3">
      <c r="A58" s="2">
        <v>45321</v>
      </c>
      <c r="B58" s="1" t="s">
        <v>40</v>
      </c>
      <c r="C58" s="1" t="s">
        <v>35</v>
      </c>
      <c r="D58" s="1" t="s">
        <v>19</v>
      </c>
      <c r="E58" s="1" t="s">
        <v>20</v>
      </c>
      <c r="F58" s="1">
        <v>59</v>
      </c>
      <c r="G58" s="1" t="str" cm="1">
        <f t="array" ref="G58">_xlfn.IFS(F58&lt;=25,"YOUTH",F58&lt;=48,"ADULT",TRUE,"SENIOR")</f>
        <v>SENIOR</v>
      </c>
      <c r="H58" s="1" t="s">
        <v>42</v>
      </c>
      <c r="I58" s="1" t="s">
        <v>37</v>
      </c>
      <c r="J58" s="1" t="s">
        <v>23</v>
      </c>
      <c r="K58" s="1" t="s">
        <v>31</v>
      </c>
      <c r="L58" s="1">
        <v>10569</v>
      </c>
      <c r="M58" s="3">
        <f t="shared" si="0"/>
        <v>0.11126880499574227</v>
      </c>
      <c r="N58" s="1">
        <v>1176</v>
      </c>
      <c r="O58" s="4">
        <f t="shared" si="1"/>
        <v>5.5471698113207548</v>
      </c>
      <c r="P58" s="1">
        <v>212</v>
      </c>
      <c r="Q58" s="1">
        <v>849.60589682508703</v>
      </c>
      <c r="R58" s="1">
        <v>12976.336241421001</v>
      </c>
      <c r="S58" s="5">
        <f t="shared" si="2"/>
        <v>12975.336241421001</v>
      </c>
      <c r="T58" s="1">
        <v>141</v>
      </c>
      <c r="U58" s="1">
        <v>24</v>
      </c>
      <c r="V58" s="1">
        <v>4</v>
      </c>
      <c r="W58" s="1">
        <v>1139</v>
      </c>
      <c r="X58" s="1">
        <v>0.52596379361049095</v>
      </c>
    </row>
    <row r="59" spans="1:24" x14ac:dyDescent="0.3">
      <c r="A59" s="2">
        <v>45321</v>
      </c>
      <c r="B59" s="1" t="s">
        <v>40</v>
      </c>
      <c r="C59" s="1" t="s">
        <v>26</v>
      </c>
      <c r="D59" s="1" t="s">
        <v>27</v>
      </c>
      <c r="E59" s="1" t="s">
        <v>28</v>
      </c>
      <c r="F59" s="1">
        <v>21</v>
      </c>
      <c r="G59" s="1" t="str" cm="1">
        <f t="array" ref="G59">_xlfn.IFS(F59&lt;=25,"YOUTH",F59&lt;=48,"ADULT",TRUE,"SENIOR")</f>
        <v>YOUTH</v>
      </c>
      <c r="H59" s="1" t="s">
        <v>29</v>
      </c>
      <c r="I59" s="1" t="s">
        <v>43</v>
      </c>
      <c r="J59" s="1" t="s">
        <v>38</v>
      </c>
      <c r="K59" s="1" t="s">
        <v>39</v>
      </c>
      <c r="L59" s="1">
        <v>22657</v>
      </c>
      <c r="M59" s="3">
        <f t="shared" si="0"/>
        <v>4.8329434611819745E-2</v>
      </c>
      <c r="N59" s="1">
        <v>1095</v>
      </c>
      <c r="O59" s="4">
        <f t="shared" si="1"/>
        <v>7.064516129032258</v>
      </c>
      <c r="P59" s="1">
        <v>155</v>
      </c>
      <c r="Q59" s="1">
        <v>3336.4891716203101</v>
      </c>
      <c r="R59" s="1">
        <v>5262.9962850000002</v>
      </c>
      <c r="S59" s="5">
        <f t="shared" si="2"/>
        <v>5261.9962850000002</v>
      </c>
      <c r="T59" s="1">
        <v>256</v>
      </c>
      <c r="U59" s="1">
        <v>50</v>
      </c>
      <c r="V59" s="1">
        <v>23</v>
      </c>
      <c r="W59" s="1">
        <v>2733</v>
      </c>
      <c r="X59" s="1">
        <v>0.61573649972978794</v>
      </c>
    </row>
    <row r="60" spans="1:24" x14ac:dyDescent="0.3">
      <c r="A60" s="2">
        <v>45313</v>
      </c>
      <c r="B60" s="1" t="s">
        <v>25</v>
      </c>
      <c r="C60" s="1" t="s">
        <v>26</v>
      </c>
      <c r="D60" s="1" t="s">
        <v>32</v>
      </c>
      <c r="E60" s="1" t="s">
        <v>20</v>
      </c>
      <c r="F60" s="1">
        <v>46</v>
      </c>
      <c r="G60" s="1" t="str" cm="1">
        <f t="array" ref="G60">_xlfn.IFS(F60&lt;=25,"YOUTH",F60&lt;=48,"ADULT",TRUE,"SENIOR")</f>
        <v>ADULT</v>
      </c>
      <c r="H60" s="1" t="s">
        <v>21</v>
      </c>
      <c r="I60" s="1" t="s">
        <v>37</v>
      </c>
      <c r="J60" s="1" t="s">
        <v>23</v>
      </c>
      <c r="K60" s="1" t="s">
        <v>31</v>
      </c>
      <c r="L60" s="1">
        <v>11141</v>
      </c>
      <c r="M60" s="3">
        <f t="shared" si="0"/>
        <v>0.12835472578763127</v>
      </c>
      <c r="N60" s="1">
        <v>1430</v>
      </c>
      <c r="O60" s="4">
        <f t="shared" si="1"/>
        <v>9.1082802547770694</v>
      </c>
      <c r="P60" s="1">
        <v>157</v>
      </c>
      <c r="Q60" s="1">
        <v>472.49828700466702</v>
      </c>
      <c r="R60" s="1">
        <v>8072.0963525325196</v>
      </c>
      <c r="S60" s="5">
        <f t="shared" si="2"/>
        <v>8071.0963525325196</v>
      </c>
      <c r="T60" s="1">
        <v>216</v>
      </c>
      <c r="U60" s="1">
        <v>21</v>
      </c>
      <c r="V60" s="1">
        <v>5</v>
      </c>
      <c r="W60" s="1">
        <v>1096</v>
      </c>
      <c r="X60" s="1">
        <v>0.54774735339052805</v>
      </c>
    </row>
    <row r="61" spans="1:24" x14ac:dyDescent="0.3">
      <c r="A61" s="2">
        <v>45302</v>
      </c>
      <c r="B61" s="1" t="s">
        <v>25</v>
      </c>
      <c r="C61" s="1" t="s">
        <v>26</v>
      </c>
      <c r="D61" s="1" t="s">
        <v>27</v>
      </c>
      <c r="E61" s="1" t="s">
        <v>20</v>
      </c>
      <c r="F61" s="1">
        <v>35</v>
      </c>
      <c r="G61" s="1" t="str" cm="1">
        <f t="array" ref="G61">_xlfn.IFS(F61&lt;=25,"YOUTH",F61&lt;=48,"ADULT",TRUE,"SENIOR")</f>
        <v>ADULT</v>
      </c>
      <c r="H61" s="1" t="s">
        <v>29</v>
      </c>
      <c r="I61" s="1" t="s">
        <v>43</v>
      </c>
      <c r="J61" s="1" t="s">
        <v>23</v>
      </c>
      <c r="K61" s="1" t="s">
        <v>31</v>
      </c>
      <c r="L61" s="1">
        <v>20656</v>
      </c>
      <c r="M61" s="3">
        <f t="shared" si="0"/>
        <v>6.9810224632068166E-2</v>
      </c>
      <c r="N61" s="1">
        <v>1442</v>
      </c>
      <c r="O61" s="4">
        <f t="shared" si="1"/>
        <v>6.1361702127659576</v>
      </c>
      <c r="P61" s="1">
        <v>235</v>
      </c>
      <c r="Q61" s="1">
        <v>1373.0622281446799</v>
      </c>
      <c r="R61" s="1">
        <v>14426.937565730501</v>
      </c>
      <c r="S61" s="5">
        <f t="shared" si="2"/>
        <v>14425.937565730501</v>
      </c>
      <c r="T61" s="1">
        <v>601</v>
      </c>
      <c r="U61" s="1">
        <v>51</v>
      </c>
      <c r="V61" s="1">
        <v>27</v>
      </c>
      <c r="W61" s="1">
        <v>2959</v>
      </c>
      <c r="X61" s="1">
        <v>0.94142881879958595</v>
      </c>
    </row>
    <row r="62" spans="1:24" x14ac:dyDescent="0.3">
      <c r="A62" s="2">
        <v>45293</v>
      </c>
      <c r="B62" s="1" t="s">
        <v>17</v>
      </c>
      <c r="C62" s="1" t="s">
        <v>35</v>
      </c>
      <c r="D62" s="1" t="s">
        <v>19</v>
      </c>
      <c r="E62" s="1" t="s">
        <v>20</v>
      </c>
      <c r="F62" s="1">
        <v>43</v>
      </c>
      <c r="G62" s="1" t="str" cm="1">
        <f t="array" ref="G62">_xlfn.IFS(F62&lt;=25,"YOUTH",F62&lt;=48,"ADULT",TRUE,"SENIOR")</f>
        <v>ADULT</v>
      </c>
      <c r="H62" s="1" t="s">
        <v>29</v>
      </c>
      <c r="I62" s="1" t="s">
        <v>43</v>
      </c>
      <c r="J62" s="1" t="s">
        <v>38</v>
      </c>
      <c r="K62" s="1" t="s">
        <v>31</v>
      </c>
      <c r="L62" s="1">
        <v>22618</v>
      </c>
      <c r="M62" s="3">
        <f t="shared" si="0"/>
        <v>4.8103280572994962E-2</v>
      </c>
      <c r="N62" s="1">
        <v>1088</v>
      </c>
      <c r="O62" s="4">
        <f t="shared" si="1"/>
        <v>4.1212121212121211</v>
      </c>
      <c r="P62" s="1">
        <v>264</v>
      </c>
      <c r="Q62" s="1">
        <v>2597.1207211811302</v>
      </c>
      <c r="R62" s="1">
        <v>2060.072846</v>
      </c>
      <c r="S62" s="5">
        <f t="shared" si="2"/>
        <v>2059.072846</v>
      </c>
      <c r="T62" s="1">
        <v>226</v>
      </c>
      <c r="U62" s="1">
        <v>22</v>
      </c>
      <c r="V62" s="1">
        <v>22</v>
      </c>
      <c r="W62" s="1">
        <v>3314</v>
      </c>
      <c r="X62" s="1">
        <v>0.86980804464305705</v>
      </c>
    </row>
    <row r="63" spans="1:24" x14ac:dyDescent="0.3">
      <c r="A63" s="2">
        <v>45335</v>
      </c>
      <c r="B63" s="1" t="s">
        <v>17</v>
      </c>
      <c r="C63" s="1" t="s">
        <v>26</v>
      </c>
      <c r="D63" s="1" t="s">
        <v>36</v>
      </c>
      <c r="E63" s="1" t="s">
        <v>28</v>
      </c>
      <c r="F63" s="1">
        <v>51</v>
      </c>
      <c r="G63" s="1" t="str" cm="1">
        <f t="array" ref="G63">_xlfn.IFS(F63&lt;=25,"YOUTH",F63&lt;=48,"ADULT",TRUE,"SENIOR")</f>
        <v>SENIOR</v>
      </c>
      <c r="H63" s="1" t="s">
        <v>29</v>
      </c>
      <c r="I63" s="1" t="s">
        <v>43</v>
      </c>
      <c r="J63" s="1" t="s">
        <v>23</v>
      </c>
      <c r="K63" s="1" t="s">
        <v>31</v>
      </c>
      <c r="L63" s="1">
        <v>12934</v>
      </c>
      <c r="M63" s="3">
        <f t="shared" si="0"/>
        <v>6.3708056285758471E-2</v>
      </c>
      <c r="N63" s="1">
        <v>824</v>
      </c>
      <c r="O63" s="4">
        <f t="shared" si="1"/>
        <v>24.235294117647058</v>
      </c>
      <c r="P63" s="1">
        <v>34</v>
      </c>
      <c r="Q63" s="1">
        <v>1879.4742736744799</v>
      </c>
      <c r="R63" s="1">
        <v>1438.4304348150999</v>
      </c>
      <c r="S63" s="5">
        <f t="shared" si="2"/>
        <v>1437.4304348150999</v>
      </c>
      <c r="T63" s="1">
        <v>95</v>
      </c>
      <c r="U63" s="1">
        <v>18</v>
      </c>
      <c r="V63" s="1">
        <v>5</v>
      </c>
      <c r="W63" s="1">
        <v>1211</v>
      </c>
      <c r="X63" s="1">
        <v>0.91162391648230601</v>
      </c>
    </row>
    <row r="64" spans="1:24" x14ac:dyDescent="0.3">
      <c r="A64" s="2">
        <v>45303</v>
      </c>
      <c r="B64" s="1" t="s">
        <v>40</v>
      </c>
      <c r="C64" s="1" t="s">
        <v>26</v>
      </c>
      <c r="D64" s="1" t="s">
        <v>36</v>
      </c>
      <c r="E64" s="1" t="s">
        <v>20</v>
      </c>
      <c r="F64" s="1">
        <v>27</v>
      </c>
      <c r="G64" s="1" t="str" cm="1">
        <f t="array" ref="G64">_xlfn.IFS(F64&lt;=25,"YOUTH",F64&lt;=48,"ADULT",TRUE,"SENIOR")</f>
        <v>ADULT</v>
      </c>
      <c r="H64" s="1" t="s">
        <v>21</v>
      </c>
      <c r="I64" s="1" t="s">
        <v>43</v>
      </c>
      <c r="J64" s="1" t="s">
        <v>23</v>
      </c>
      <c r="K64" s="1" t="s">
        <v>39</v>
      </c>
      <c r="L64" s="1">
        <v>43537</v>
      </c>
      <c r="M64" s="3">
        <f t="shared" si="0"/>
        <v>0.12701839814410731</v>
      </c>
      <c r="N64" s="1">
        <v>5530</v>
      </c>
      <c r="O64" s="4">
        <f t="shared" si="1"/>
        <v>9.1254125412541249</v>
      </c>
      <c r="P64" s="1">
        <v>606</v>
      </c>
      <c r="Q64" s="1">
        <v>1751.8321259551501</v>
      </c>
      <c r="R64" s="1">
        <v>36648.603454478398</v>
      </c>
      <c r="S64" s="5">
        <f t="shared" si="2"/>
        <v>36647.603454478398</v>
      </c>
      <c r="T64" s="1">
        <v>347</v>
      </c>
      <c r="U64" s="1">
        <v>34</v>
      </c>
      <c r="V64" s="1">
        <v>10</v>
      </c>
      <c r="W64" s="1">
        <v>1613</v>
      </c>
      <c r="X64" s="1">
        <v>0.83382583000648602</v>
      </c>
    </row>
    <row r="65" spans="1:24" x14ac:dyDescent="0.3">
      <c r="A65" s="2">
        <v>45321</v>
      </c>
      <c r="B65" s="1" t="s">
        <v>25</v>
      </c>
      <c r="C65" s="1" t="s">
        <v>26</v>
      </c>
      <c r="D65" s="1" t="s">
        <v>19</v>
      </c>
      <c r="E65" s="1" t="s">
        <v>20</v>
      </c>
      <c r="F65" s="1">
        <v>53</v>
      </c>
      <c r="G65" s="1" t="str" cm="1">
        <f t="array" ref="G65">_xlfn.IFS(F65&lt;=25,"YOUTH",F65&lt;=48,"ADULT",TRUE,"SENIOR")</f>
        <v>SENIOR</v>
      </c>
      <c r="H65" s="1" t="s">
        <v>29</v>
      </c>
      <c r="I65" s="1" t="s">
        <v>37</v>
      </c>
      <c r="J65" s="1" t="s">
        <v>23</v>
      </c>
      <c r="K65" s="1" t="s">
        <v>31</v>
      </c>
      <c r="L65" s="1">
        <v>24286</v>
      </c>
      <c r="M65" s="3">
        <f t="shared" si="0"/>
        <v>3.0799637651321748E-2</v>
      </c>
      <c r="N65" s="1">
        <v>748</v>
      </c>
      <c r="O65" s="4">
        <f t="shared" si="1"/>
        <v>8.9047619047619051</v>
      </c>
      <c r="P65" s="1">
        <v>84</v>
      </c>
      <c r="Q65" s="1">
        <v>1203.5994437833001</v>
      </c>
      <c r="R65" s="1">
        <v>2593.9259974328702</v>
      </c>
      <c r="S65" s="5">
        <f t="shared" si="2"/>
        <v>2592.9259974328702</v>
      </c>
      <c r="T65" s="1">
        <v>596</v>
      </c>
      <c r="U65" s="1">
        <v>80</v>
      </c>
      <c r="V65" s="1">
        <v>58</v>
      </c>
      <c r="W65" s="1">
        <v>3198</v>
      </c>
      <c r="X65" s="1">
        <v>0.65099153258863596</v>
      </c>
    </row>
    <row r="66" spans="1:24" x14ac:dyDescent="0.3">
      <c r="A66" s="2">
        <v>45327</v>
      </c>
      <c r="B66" s="1" t="s">
        <v>17</v>
      </c>
      <c r="C66" s="1" t="s">
        <v>18</v>
      </c>
      <c r="D66" s="1" t="s">
        <v>19</v>
      </c>
      <c r="E66" s="1" t="s">
        <v>20</v>
      </c>
      <c r="F66" s="1">
        <v>31</v>
      </c>
      <c r="G66" s="1" t="str" cm="1">
        <f t="array" ref="G66">_xlfn.IFS(F66&lt;=25,"YOUTH",F66&lt;=48,"ADULT",TRUE,"SENIOR")</f>
        <v>ADULT</v>
      </c>
      <c r="H66" s="1" t="s">
        <v>29</v>
      </c>
      <c r="I66" s="1" t="s">
        <v>43</v>
      </c>
      <c r="J66" s="1" t="s">
        <v>23</v>
      </c>
      <c r="K66" s="1" t="s">
        <v>39</v>
      </c>
      <c r="L66" s="1">
        <v>8612</v>
      </c>
      <c r="M66" s="3">
        <f t="shared" si="0"/>
        <v>7.3850441244774731E-2</v>
      </c>
      <c r="N66" s="1">
        <v>636</v>
      </c>
      <c r="O66" s="4">
        <f t="shared" si="1"/>
        <v>6.5567010309278349</v>
      </c>
      <c r="P66" s="1">
        <v>97</v>
      </c>
      <c r="Q66" s="1">
        <v>424.91872966055001</v>
      </c>
      <c r="R66" s="1">
        <v>2391.5286365388502</v>
      </c>
      <c r="S66" s="5">
        <f t="shared" si="2"/>
        <v>2390.5286365388502</v>
      </c>
      <c r="T66" s="1">
        <v>118</v>
      </c>
      <c r="U66" s="1">
        <v>13</v>
      </c>
      <c r="V66" s="1">
        <v>11</v>
      </c>
      <c r="W66" s="1">
        <v>1350</v>
      </c>
      <c r="X66" s="1">
        <v>0.51298883739807599</v>
      </c>
    </row>
    <row r="67" spans="1:24" x14ac:dyDescent="0.3">
      <c r="A67" s="2">
        <v>45309</v>
      </c>
      <c r="B67" s="1" t="s">
        <v>17</v>
      </c>
      <c r="C67" s="1" t="s">
        <v>35</v>
      </c>
      <c r="D67" s="1" t="s">
        <v>19</v>
      </c>
      <c r="E67" s="1" t="s">
        <v>28</v>
      </c>
      <c r="F67" s="1">
        <v>48</v>
      </c>
      <c r="G67" s="1" t="str" cm="1">
        <f t="array" ref="G67">_xlfn.IFS(F67&lt;=25,"YOUTH",F67&lt;=48,"ADULT",TRUE,"SENIOR")</f>
        <v>ADULT</v>
      </c>
      <c r="H67" s="1" t="s">
        <v>29</v>
      </c>
      <c r="I67" s="1" t="s">
        <v>43</v>
      </c>
      <c r="J67" s="1" t="s">
        <v>38</v>
      </c>
      <c r="K67" s="1" t="s">
        <v>24</v>
      </c>
      <c r="L67" s="1">
        <v>33069</v>
      </c>
      <c r="M67" s="3">
        <f t="shared" ref="M67:M130" si="3">(N67/L67)</f>
        <v>7.892588224621247E-2</v>
      </c>
      <c r="N67" s="1">
        <v>2610</v>
      </c>
      <c r="O67" s="4">
        <f t="shared" ref="O67:O130" si="4">(N67/P67)</f>
        <v>18.251748251748253</v>
      </c>
      <c r="P67" s="1">
        <v>143</v>
      </c>
      <c r="Q67" s="1">
        <v>751.36616682553904</v>
      </c>
      <c r="R67" s="1">
        <v>8111.0936379565101</v>
      </c>
      <c r="S67" s="5">
        <f t="shared" ref="S67:S130" si="5">(R67-Q67/Q67)</f>
        <v>8110.0936379565101</v>
      </c>
      <c r="T67" s="1">
        <v>350</v>
      </c>
      <c r="U67" s="1">
        <v>38</v>
      </c>
      <c r="V67" s="1">
        <v>12</v>
      </c>
      <c r="W67" s="1">
        <v>4340</v>
      </c>
      <c r="X67" s="1">
        <v>0.51444408630035299</v>
      </c>
    </row>
    <row r="68" spans="1:24" x14ac:dyDescent="0.3">
      <c r="A68" s="2">
        <v>45317</v>
      </c>
      <c r="B68" s="1" t="s">
        <v>34</v>
      </c>
      <c r="C68" s="1" t="s">
        <v>35</v>
      </c>
      <c r="D68" s="1" t="s">
        <v>32</v>
      </c>
      <c r="E68" s="1" t="s">
        <v>28</v>
      </c>
      <c r="F68" s="1">
        <v>32</v>
      </c>
      <c r="G68" s="1" t="str" cm="1">
        <f t="array" ref="G68">_xlfn.IFS(F68&lt;=25,"YOUTH",F68&lt;=48,"ADULT",TRUE,"SENIOR")</f>
        <v>ADULT</v>
      </c>
      <c r="H68" s="1" t="s">
        <v>21</v>
      </c>
      <c r="I68" s="1" t="s">
        <v>33</v>
      </c>
      <c r="J68" s="1" t="s">
        <v>23</v>
      </c>
      <c r="K68" s="1" t="s">
        <v>39</v>
      </c>
      <c r="L68" s="1">
        <v>17205</v>
      </c>
      <c r="M68" s="3">
        <f t="shared" si="3"/>
        <v>1.5111886079628016E-2</v>
      </c>
      <c r="N68" s="1">
        <v>260</v>
      </c>
      <c r="O68" s="4">
        <f t="shared" si="4"/>
        <v>17.333333333333332</v>
      </c>
      <c r="P68" s="1">
        <v>15</v>
      </c>
      <c r="Q68" s="1">
        <v>1695.2952126136399</v>
      </c>
      <c r="R68" s="1">
        <v>402.39191891526502</v>
      </c>
      <c r="S68" s="5">
        <f t="shared" si="5"/>
        <v>401.39191891526502</v>
      </c>
      <c r="T68" s="1">
        <v>237</v>
      </c>
      <c r="U68" s="1">
        <v>18</v>
      </c>
      <c r="V68" s="1">
        <v>21</v>
      </c>
      <c r="W68" s="1">
        <v>2094</v>
      </c>
      <c r="X68" s="1">
        <v>0.48342556660167202</v>
      </c>
    </row>
    <row r="69" spans="1:24" x14ac:dyDescent="0.3">
      <c r="A69" s="2">
        <v>45344</v>
      </c>
      <c r="B69" s="1" t="s">
        <v>17</v>
      </c>
      <c r="C69" s="1" t="s">
        <v>41</v>
      </c>
      <c r="D69" s="1" t="s">
        <v>27</v>
      </c>
      <c r="E69" s="1" t="s">
        <v>20</v>
      </c>
      <c r="F69" s="1">
        <v>25</v>
      </c>
      <c r="G69" s="1" t="str" cm="1">
        <f t="array" ref="G69">_xlfn.IFS(F69&lt;=25,"YOUTH",F69&lt;=48,"ADULT",TRUE,"SENIOR")</f>
        <v>YOUTH</v>
      </c>
      <c r="H69" s="1" t="s">
        <v>42</v>
      </c>
      <c r="I69" s="1" t="s">
        <v>22</v>
      </c>
      <c r="J69" s="1" t="s">
        <v>23</v>
      </c>
      <c r="K69" s="1" t="s">
        <v>39</v>
      </c>
      <c r="L69" s="1">
        <v>28331</v>
      </c>
      <c r="M69" s="3">
        <f t="shared" si="3"/>
        <v>3.7379548904027393E-2</v>
      </c>
      <c r="N69" s="1">
        <v>1059</v>
      </c>
      <c r="O69" s="4">
        <f t="shared" si="4"/>
        <v>11.766666666666667</v>
      </c>
      <c r="P69" s="1">
        <v>90</v>
      </c>
      <c r="Q69" s="1">
        <v>3036.8395431715498</v>
      </c>
      <c r="R69" s="1">
        <v>468.569644379343</v>
      </c>
      <c r="S69" s="5">
        <f t="shared" si="5"/>
        <v>467.569644379343</v>
      </c>
      <c r="T69" s="1">
        <v>598</v>
      </c>
      <c r="U69" s="1">
        <v>78</v>
      </c>
      <c r="V69" s="1">
        <v>30</v>
      </c>
      <c r="W69" s="1">
        <v>1518</v>
      </c>
      <c r="X69" s="1">
        <v>0.70065725266686796</v>
      </c>
    </row>
    <row r="70" spans="1:24" x14ac:dyDescent="0.3">
      <c r="A70" s="2">
        <v>45298</v>
      </c>
      <c r="B70" s="1" t="s">
        <v>40</v>
      </c>
      <c r="C70" s="1" t="s">
        <v>35</v>
      </c>
      <c r="D70" s="1" t="s">
        <v>27</v>
      </c>
      <c r="E70" s="1" t="s">
        <v>28</v>
      </c>
      <c r="F70" s="1">
        <v>31</v>
      </c>
      <c r="G70" s="1" t="str" cm="1">
        <f t="array" ref="G70">_xlfn.IFS(F70&lt;=25,"YOUTH",F70&lt;=48,"ADULT",TRUE,"SENIOR")</f>
        <v>ADULT</v>
      </c>
      <c r="H70" s="1" t="s">
        <v>21</v>
      </c>
      <c r="I70" s="1" t="s">
        <v>22</v>
      </c>
      <c r="J70" s="1" t="s">
        <v>38</v>
      </c>
      <c r="K70" s="1" t="s">
        <v>31</v>
      </c>
      <c r="L70" s="1">
        <v>14934</v>
      </c>
      <c r="M70" s="3">
        <f t="shared" si="3"/>
        <v>0.12568635328779965</v>
      </c>
      <c r="N70" s="1">
        <v>1877</v>
      </c>
      <c r="O70" s="4">
        <f t="shared" si="4"/>
        <v>4.1711111111111112</v>
      </c>
      <c r="P70" s="1">
        <v>450</v>
      </c>
      <c r="Q70" s="1">
        <v>1468.43581360696</v>
      </c>
      <c r="R70" s="1">
        <v>30317.498188150101</v>
      </c>
      <c r="S70" s="5">
        <f t="shared" si="5"/>
        <v>30316.498188150101</v>
      </c>
      <c r="T70" s="1">
        <v>278</v>
      </c>
      <c r="U70" s="1">
        <v>49</v>
      </c>
      <c r="V70" s="1">
        <v>14</v>
      </c>
      <c r="W70" s="1">
        <v>1979</v>
      </c>
      <c r="X70" s="1">
        <v>0.90598158757500302</v>
      </c>
    </row>
    <row r="71" spans="1:24" x14ac:dyDescent="0.3">
      <c r="A71" s="2">
        <v>45292</v>
      </c>
      <c r="B71" s="1" t="s">
        <v>25</v>
      </c>
      <c r="C71" s="1" t="s">
        <v>18</v>
      </c>
      <c r="D71" s="1" t="s">
        <v>27</v>
      </c>
      <c r="E71" s="1" t="s">
        <v>20</v>
      </c>
      <c r="F71" s="1">
        <v>40</v>
      </c>
      <c r="G71" s="1" t="str" cm="1">
        <f t="array" ref="G71">_xlfn.IFS(F71&lt;=25,"YOUTH",F71&lt;=48,"ADULT",TRUE,"SENIOR")</f>
        <v>ADULT</v>
      </c>
      <c r="H71" s="1" t="s">
        <v>21</v>
      </c>
      <c r="I71" s="1" t="s">
        <v>33</v>
      </c>
      <c r="J71" s="1" t="s">
        <v>23</v>
      </c>
      <c r="K71" s="1" t="s">
        <v>31</v>
      </c>
      <c r="L71" s="1">
        <v>11095</v>
      </c>
      <c r="M71" s="3">
        <f t="shared" si="3"/>
        <v>0.12627309598918432</v>
      </c>
      <c r="N71" s="1">
        <v>1401</v>
      </c>
      <c r="O71" s="4">
        <f t="shared" si="4"/>
        <v>5.3068181818181817</v>
      </c>
      <c r="P71" s="1">
        <v>264</v>
      </c>
      <c r="Q71" s="1">
        <v>324.77271377957197</v>
      </c>
      <c r="R71" s="1">
        <v>11480.834735783401</v>
      </c>
      <c r="S71" s="5">
        <f t="shared" si="5"/>
        <v>11479.834735783401</v>
      </c>
      <c r="T71" s="1">
        <v>261</v>
      </c>
      <c r="U71" s="1">
        <v>14</v>
      </c>
      <c r="V71" s="1">
        <v>10</v>
      </c>
      <c r="W71" s="1">
        <v>816</v>
      </c>
      <c r="X71" s="1">
        <v>0.94548893852517102</v>
      </c>
    </row>
    <row r="72" spans="1:24" x14ac:dyDescent="0.3">
      <c r="A72" s="2">
        <v>45349</v>
      </c>
      <c r="B72" s="1" t="s">
        <v>17</v>
      </c>
      <c r="C72" s="1" t="s">
        <v>35</v>
      </c>
      <c r="D72" s="1" t="s">
        <v>19</v>
      </c>
      <c r="E72" s="1" t="s">
        <v>28</v>
      </c>
      <c r="F72" s="1">
        <v>57</v>
      </c>
      <c r="G72" s="1" t="str" cm="1">
        <f t="array" ref="G72">_xlfn.IFS(F72&lt;=25,"YOUTH",F72&lt;=48,"ADULT",TRUE,"SENIOR")</f>
        <v>SENIOR</v>
      </c>
      <c r="H72" s="1" t="s">
        <v>21</v>
      </c>
      <c r="I72" s="1" t="s">
        <v>33</v>
      </c>
      <c r="J72" s="1" t="s">
        <v>23</v>
      </c>
      <c r="K72" s="1" t="s">
        <v>39</v>
      </c>
      <c r="L72" s="1">
        <v>26958</v>
      </c>
      <c r="M72" s="3">
        <f t="shared" si="3"/>
        <v>5.0931077973143411E-2</v>
      </c>
      <c r="N72" s="1">
        <v>1373</v>
      </c>
      <c r="O72" s="4">
        <f t="shared" si="4"/>
        <v>5.8177966101694913</v>
      </c>
      <c r="P72" s="1">
        <v>236</v>
      </c>
      <c r="Q72" s="1">
        <v>781.77974488059601</v>
      </c>
      <c r="R72" s="1">
        <v>13751.4048730124</v>
      </c>
      <c r="S72" s="5">
        <f t="shared" si="5"/>
        <v>13750.4048730124</v>
      </c>
      <c r="T72" s="1">
        <v>363</v>
      </c>
      <c r="U72" s="1">
        <v>66</v>
      </c>
      <c r="V72" s="1">
        <v>8</v>
      </c>
      <c r="W72" s="1">
        <v>4979</v>
      </c>
      <c r="X72" s="1">
        <v>0.55801489002021998</v>
      </c>
    </row>
    <row r="73" spans="1:24" x14ac:dyDescent="0.3">
      <c r="A73" s="2">
        <v>45317</v>
      </c>
      <c r="B73" s="1" t="s">
        <v>34</v>
      </c>
      <c r="C73" s="1" t="s">
        <v>18</v>
      </c>
      <c r="D73" s="1" t="s">
        <v>27</v>
      </c>
      <c r="E73" s="1" t="s">
        <v>28</v>
      </c>
      <c r="F73" s="1">
        <v>38</v>
      </c>
      <c r="G73" s="1" t="str" cm="1">
        <f t="array" ref="G73">_xlfn.IFS(F73&lt;=25,"YOUTH",F73&lt;=48,"ADULT",TRUE,"SENIOR")</f>
        <v>ADULT</v>
      </c>
      <c r="H73" s="1" t="s">
        <v>21</v>
      </c>
      <c r="I73" s="1" t="s">
        <v>37</v>
      </c>
      <c r="J73" s="1" t="s">
        <v>23</v>
      </c>
      <c r="K73" s="1" t="s">
        <v>31</v>
      </c>
      <c r="L73" s="1">
        <v>38008</v>
      </c>
      <c r="M73" s="3">
        <f t="shared" si="3"/>
        <v>0.132472111134498</v>
      </c>
      <c r="N73" s="1">
        <v>5035</v>
      </c>
      <c r="O73" s="4">
        <f t="shared" si="4"/>
        <v>4.8135755258126194</v>
      </c>
      <c r="P73" s="1">
        <v>1046</v>
      </c>
      <c r="Q73" s="1">
        <v>1799.68838121764</v>
      </c>
      <c r="R73" s="1">
        <v>61342.253223681102</v>
      </c>
      <c r="S73" s="5">
        <f t="shared" si="5"/>
        <v>61341.253223681102</v>
      </c>
      <c r="T73" s="1">
        <v>619</v>
      </c>
      <c r="U73" s="1">
        <v>92</v>
      </c>
      <c r="V73" s="1">
        <v>25</v>
      </c>
      <c r="W73" s="1">
        <v>5100</v>
      </c>
      <c r="X73" s="1">
        <v>0.78352299716320095</v>
      </c>
    </row>
    <row r="74" spans="1:24" x14ac:dyDescent="0.3">
      <c r="A74" s="2">
        <v>45314</v>
      </c>
      <c r="B74" s="1" t="s">
        <v>25</v>
      </c>
      <c r="C74" s="1" t="s">
        <v>18</v>
      </c>
      <c r="D74" s="1" t="s">
        <v>19</v>
      </c>
      <c r="E74" s="1" t="s">
        <v>20</v>
      </c>
      <c r="F74" s="1">
        <v>33</v>
      </c>
      <c r="G74" s="1" t="str" cm="1">
        <f t="array" ref="G74">_xlfn.IFS(F74&lt;=25,"YOUTH",F74&lt;=48,"ADULT",TRUE,"SENIOR")</f>
        <v>ADULT</v>
      </c>
      <c r="H74" s="1" t="s">
        <v>29</v>
      </c>
      <c r="I74" s="1" t="s">
        <v>37</v>
      </c>
      <c r="J74" s="1" t="s">
        <v>38</v>
      </c>
      <c r="K74" s="1" t="s">
        <v>39</v>
      </c>
      <c r="L74" s="1">
        <v>19706</v>
      </c>
      <c r="M74" s="3">
        <f t="shared" si="3"/>
        <v>0.11803511620826145</v>
      </c>
      <c r="N74" s="1">
        <v>2326</v>
      </c>
      <c r="O74" s="4">
        <f t="shared" si="4"/>
        <v>20.403508771929825</v>
      </c>
      <c r="P74" s="1">
        <v>114</v>
      </c>
      <c r="Q74" s="1">
        <v>1137.7906844271599</v>
      </c>
      <c r="R74" s="1">
        <v>1062.1012149619501</v>
      </c>
      <c r="S74" s="5">
        <f t="shared" si="5"/>
        <v>1061.1012149619501</v>
      </c>
      <c r="T74" s="1">
        <v>148</v>
      </c>
      <c r="U74" s="1">
        <v>21</v>
      </c>
      <c r="V74" s="1">
        <v>3</v>
      </c>
      <c r="W74" s="1">
        <v>1238</v>
      </c>
      <c r="X74" s="1">
        <v>0.72840390858570703</v>
      </c>
    </row>
    <row r="75" spans="1:24" x14ac:dyDescent="0.3">
      <c r="A75" s="2">
        <v>45317</v>
      </c>
      <c r="B75" s="1" t="s">
        <v>17</v>
      </c>
      <c r="C75" s="1" t="s">
        <v>35</v>
      </c>
      <c r="D75" s="1" t="s">
        <v>32</v>
      </c>
      <c r="E75" s="1" t="s">
        <v>20</v>
      </c>
      <c r="F75" s="1">
        <v>35</v>
      </c>
      <c r="G75" s="1" t="str" cm="1">
        <f t="array" ref="G75">_xlfn.IFS(F75&lt;=25,"YOUTH",F75&lt;=48,"ADULT",TRUE,"SENIOR")</f>
        <v>ADULT</v>
      </c>
      <c r="H75" s="1" t="s">
        <v>29</v>
      </c>
      <c r="I75" s="1" t="s">
        <v>37</v>
      </c>
      <c r="J75" s="1" t="s">
        <v>23</v>
      </c>
      <c r="K75" s="1" t="s">
        <v>31</v>
      </c>
      <c r="L75" s="1">
        <v>44516</v>
      </c>
      <c r="M75" s="3">
        <f t="shared" si="3"/>
        <v>6.8492227513702944E-2</v>
      </c>
      <c r="N75" s="1">
        <v>3049</v>
      </c>
      <c r="O75" s="4">
        <f t="shared" si="4"/>
        <v>4.5987933634992455</v>
      </c>
      <c r="P75" s="1">
        <v>663</v>
      </c>
      <c r="Q75" s="1">
        <v>5442.1110602439103</v>
      </c>
      <c r="R75" s="1">
        <v>10678.220289999999</v>
      </c>
      <c r="S75" s="5">
        <f t="shared" si="5"/>
        <v>10677.220289999999</v>
      </c>
      <c r="T75" s="1">
        <v>303</v>
      </c>
      <c r="U75" s="1">
        <v>43</v>
      </c>
      <c r="V75" s="1">
        <v>28</v>
      </c>
      <c r="W75" s="1">
        <v>4445</v>
      </c>
      <c r="X75" s="1">
        <v>0.668914864281971</v>
      </c>
    </row>
    <row r="76" spans="1:24" x14ac:dyDescent="0.3">
      <c r="A76" s="2">
        <v>45336</v>
      </c>
      <c r="B76" s="1" t="s">
        <v>34</v>
      </c>
      <c r="C76" s="1" t="s">
        <v>41</v>
      </c>
      <c r="D76" s="1" t="s">
        <v>36</v>
      </c>
      <c r="E76" s="1" t="s">
        <v>20</v>
      </c>
      <c r="F76" s="1">
        <v>41</v>
      </c>
      <c r="G76" s="1" t="str" cm="1">
        <f t="array" ref="G76">_xlfn.IFS(F76&lt;=25,"YOUTH",F76&lt;=48,"ADULT",TRUE,"SENIOR")</f>
        <v>ADULT</v>
      </c>
      <c r="H76" s="1" t="s">
        <v>29</v>
      </c>
      <c r="I76" s="1" t="s">
        <v>33</v>
      </c>
      <c r="J76" s="1" t="s">
        <v>23</v>
      </c>
      <c r="K76" s="1" t="s">
        <v>39</v>
      </c>
      <c r="L76" s="1">
        <v>39066</v>
      </c>
      <c r="M76" s="3">
        <f t="shared" si="3"/>
        <v>0.11475451799518763</v>
      </c>
      <c r="N76" s="1">
        <v>4483</v>
      </c>
      <c r="O76" s="4">
        <f t="shared" si="4"/>
        <v>6.3860398860398861</v>
      </c>
      <c r="P76" s="1">
        <v>702</v>
      </c>
      <c r="Q76" s="1">
        <v>1590.79621582715</v>
      </c>
      <c r="R76" s="1">
        <v>17706.436663062701</v>
      </c>
      <c r="S76" s="5">
        <f t="shared" si="5"/>
        <v>17705.436663062701</v>
      </c>
      <c r="T76" s="1">
        <v>646</v>
      </c>
      <c r="U76" s="1">
        <v>61</v>
      </c>
      <c r="V76" s="1">
        <v>47</v>
      </c>
      <c r="W76" s="1">
        <v>6674</v>
      </c>
      <c r="X76" s="1">
        <v>0.766172754096622</v>
      </c>
    </row>
    <row r="77" spans="1:24" x14ac:dyDescent="0.3">
      <c r="A77" s="2">
        <v>45297</v>
      </c>
      <c r="B77" s="1" t="s">
        <v>17</v>
      </c>
      <c r="C77" s="1" t="s">
        <v>26</v>
      </c>
      <c r="D77" s="1" t="s">
        <v>19</v>
      </c>
      <c r="E77" s="1" t="s">
        <v>28</v>
      </c>
      <c r="F77" s="1">
        <v>43</v>
      </c>
      <c r="G77" s="1" t="str" cm="1">
        <f t="array" ref="G77">_xlfn.IFS(F77&lt;=25,"YOUTH",F77&lt;=48,"ADULT",TRUE,"SENIOR")</f>
        <v>ADULT</v>
      </c>
      <c r="H77" s="1" t="s">
        <v>29</v>
      </c>
      <c r="I77" s="1" t="s">
        <v>33</v>
      </c>
      <c r="J77" s="1" t="s">
        <v>23</v>
      </c>
      <c r="K77" s="1" t="s">
        <v>24</v>
      </c>
      <c r="L77" s="1">
        <v>32472</v>
      </c>
      <c r="M77" s="3">
        <f t="shared" si="3"/>
        <v>0.14458610495195862</v>
      </c>
      <c r="N77" s="1">
        <v>4695</v>
      </c>
      <c r="O77" s="4">
        <f t="shared" si="4"/>
        <v>10.296052631578947</v>
      </c>
      <c r="P77" s="1">
        <v>456</v>
      </c>
      <c r="Q77" s="1">
        <v>835.56911861188598</v>
      </c>
      <c r="R77" s="1">
        <v>11785.5268086248</v>
      </c>
      <c r="S77" s="5">
        <f t="shared" si="5"/>
        <v>11784.5268086248</v>
      </c>
      <c r="T77" s="1">
        <v>407</v>
      </c>
      <c r="U77" s="1">
        <v>45</v>
      </c>
      <c r="V77" s="1">
        <v>37</v>
      </c>
      <c r="W77" s="1">
        <v>2394</v>
      </c>
      <c r="X77" s="1">
        <v>0.60424966043903705</v>
      </c>
    </row>
    <row r="78" spans="1:24" x14ac:dyDescent="0.3">
      <c r="A78" s="2">
        <v>45297</v>
      </c>
      <c r="B78" s="1" t="s">
        <v>25</v>
      </c>
      <c r="C78" s="1" t="s">
        <v>26</v>
      </c>
      <c r="D78" s="1" t="s">
        <v>19</v>
      </c>
      <c r="E78" s="1" t="s">
        <v>20</v>
      </c>
      <c r="F78" s="1">
        <v>42</v>
      </c>
      <c r="G78" s="1" t="str" cm="1">
        <f t="array" ref="G78">_xlfn.IFS(F78&lt;=25,"YOUTH",F78&lt;=48,"ADULT",TRUE,"SENIOR")</f>
        <v>ADULT</v>
      </c>
      <c r="H78" s="1" t="s">
        <v>29</v>
      </c>
      <c r="I78" s="1" t="s">
        <v>43</v>
      </c>
      <c r="J78" s="1" t="s">
        <v>23</v>
      </c>
      <c r="K78" s="1" t="s">
        <v>24</v>
      </c>
      <c r="L78" s="1">
        <v>35629</v>
      </c>
      <c r="M78" s="3">
        <f t="shared" si="3"/>
        <v>7.4237278621347783E-2</v>
      </c>
      <c r="N78" s="1">
        <v>2645</v>
      </c>
      <c r="O78" s="4">
        <f t="shared" si="4"/>
        <v>4.8178506375227688</v>
      </c>
      <c r="P78" s="1">
        <v>549</v>
      </c>
      <c r="Q78" s="1">
        <v>2537.4395186000902</v>
      </c>
      <c r="R78" s="1">
        <v>26253.7826094433</v>
      </c>
      <c r="S78" s="5">
        <f t="shared" si="5"/>
        <v>26252.7826094433</v>
      </c>
      <c r="T78" s="1">
        <v>723</v>
      </c>
      <c r="U78" s="1">
        <v>122</v>
      </c>
      <c r="V78" s="1">
        <v>55</v>
      </c>
      <c r="W78" s="1">
        <v>3913</v>
      </c>
      <c r="X78" s="1">
        <v>0.91946662630139697</v>
      </c>
    </row>
    <row r="79" spans="1:24" x14ac:dyDescent="0.3">
      <c r="A79" s="2">
        <v>45335</v>
      </c>
      <c r="B79" s="1" t="s">
        <v>25</v>
      </c>
      <c r="C79" s="1" t="s">
        <v>35</v>
      </c>
      <c r="D79" s="1" t="s">
        <v>36</v>
      </c>
      <c r="E79" s="1" t="s">
        <v>28</v>
      </c>
      <c r="F79" s="1">
        <v>58</v>
      </c>
      <c r="G79" s="1" t="str" cm="1">
        <f t="array" ref="G79">_xlfn.IFS(F79&lt;=25,"YOUTH",F79&lt;=48,"ADULT",TRUE,"SENIOR")</f>
        <v>SENIOR</v>
      </c>
      <c r="H79" s="1" t="s">
        <v>21</v>
      </c>
      <c r="I79" s="1" t="s">
        <v>37</v>
      </c>
      <c r="J79" s="1" t="s">
        <v>23</v>
      </c>
      <c r="K79" s="1" t="s">
        <v>39</v>
      </c>
      <c r="L79" s="1">
        <v>47910</v>
      </c>
      <c r="M79" s="3">
        <f t="shared" si="3"/>
        <v>4.3372991024838235E-2</v>
      </c>
      <c r="N79" s="1">
        <v>2078</v>
      </c>
      <c r="O79" s="4">
        <f t="shared" si="4"/>
        <v>4.8894117647058826</v>
      </c>
      <c r="P79" s="1">
        <v>425</v>
      </c>
      <c r="Q79" s="1">
        <v>3551.6153532949202</v>
      </c>
      <c r="R79" s="1">
        <v>19339.0469357929</v>
      </c>
      <c r="S79" s="5">
        <f t="shared" si="5"/>
        <v>19338.0469357929</v>
      </c>
      <c r="T79" s="1">
        <v>291</v>
      </c>
      <c r="U79" s="1">
        <v>27</v>
      </c>
      <c r="V79" s="1">
        <v>8</v>
      </c>
      <c r="W79" s="1">
        <v>6666</v>
      </c>
      <c r="X79" s="1">
        <v>0.78799687723848499</v>
      </c>
    </row>
    <row r="80" spans="1:24" x14ac:dyDescent="0.3">
      <c r="A80" s="2">
        <v>45299</v>
      </c>
      <c r="B80" s="1" t="s">
        <v>25</v>
      </c>
      <c r="C80" s="1" t="s">
        <v>35</v>
      </c>
      <c r="D80" s="1" t="s">
        <v>36</v>
      </c>
      <c r="E80" s="1" t="s">
        <v>28</v>
      </c>
      <c r="F80" s="1">
        <v>46</v>
      </c>
      <c r="G80" s="1" t="str" cm="1">
        <f t="array" ref="G80">_xlfn.IFS(F80&lt;=25,"YOUTH",F80&lt;=48,"ADULT",TRUE,"SENIOR")</f>
        <v>ADULT</v>
      </c>
      <c r="H80" s="1" t="s">
        <v>29</v>
      </c>
      <c r="I80" s="1" t="s">
        <v>37</v>
      </c>
      <c r="J80" s="1" t="s">
        <v>23</v>
      </c>
      <c r="K80" s="1" t="s">
        <v>39</v>
      </c>
      <c r="L80" s="1">
        <v>24004</v>
      </c>
      <c r="M80" s="3">
        <f t="shared" si="3"/>
        <v>0.14185135810698216</v>
      </c>
      <c r="N80" s="1">
        <v>3405</v>
      </c>
      <c r="O80" s="4">
        <f t="shared" si="4"/>
        <v>4.6643835616438354</v>
      </c>
      <c r="P80" s="1">
        <v>730</v>
      </c>
      <c r="Q80" s="1">
        <v>1887.1453669653899</v>
      </c>
      <c r="R80" s="1">
        <v>27118.284966565599</v>
      </c>
      <c r="S80" s="5">
        <f t="shared" si="5"/>
        <v>27117.284966565599</v>
      </c>
      <c r="T80" s="1">
        <v>193</v>
      </c>
      <c r="U80" s="1">
        <v>23</v>
      </c>
      <c r="V80" s="1">
        <v>18</v>
      </c>
      <c r="W80" s="1">
        <v>3681</v>
      </c>
      <c r="X80" s="1">
        <v>0.81481060059584398</v>
      </c>
    </row>
    <row r="81" spans="1:24" x14ac:dyDescent="0.3">
      <c r="A81" s="2">
        <v>45315</v>
      </c>
      <c r="B81" s="1" t="s">
        <v>40</v>
      </c>
      <c r="C81" s="1" t="s">
        <v>18</v>
      </c>
      <c r="D81" s="1" t="s">
        <v>32</v>
      </c>
      <c r="E81" s="1" t="s">
        <v>20</v>
      </c>
      <c r="F81" s="1">
        <v>32</v>
      </c>
      <c r="G81" s="1" t="str" cm="1">
        <f t="array" ref="G81">_xlfn.IFS(F81&lt;=25,"YOUTH",F81&lt;=48,"ADULT",TRUE,"SENIOR")</f>
        <v>ADULT</v>
      </c>
      <c r="H81" s="1" t="s">
        <v>21</v>
      </c>
      <c r="I81" s="1" t="s">
        <v>37</v>
      </c>
      <c r="J81" s="1" t="s">
        <v>23</v>
      </c>
      <c r="K81" s="1" t="s">
        <v>39</v>
      </c>
      <c r="L81" s="1">
        <v>21431</v>
      </c>
      <c r="M81" s="3">
        <f t="shared" si="3"/>
        <v>9.4489291213662452E-2</v>
      </c>
      <c r="N81" s="1">
        <v>2025</v>
      </c>
      <c r="O81" s="4">
        <f t="shared" si="4"/>
        <v>21.542553191489361</v>
      </c>
      <c r="P81" s="1">
        <v>94</v>
      </c>
      <c r="Q81" s="1">
        <v>2732.3980807654498</v>
      </c>
      <c r="R81" s="1">
        <v>1760.8214044065701</v>
      </c>
      <c r="S81" s="5">
        <f t="shared" si="5"/>
        <v>1759.8214044065701</v>
      </c>
      <c r="T81" s="1">
        <v>570</v>
      </c>
      <c r="U81" s="1">
        <v>30</v>
      </c>
      <c r="V81" s="1">
        <v>52</v>
      </c>
      <c r="W81" s="1">
        <v>922</v>
      </c>
      <c r="X81" s="1">
        <v>0.53333215225333996</v>
      </c>
    </row>
    <row r="82" spans="1:24" x14ac:dyDescent="0.3">
      <c r="A82" s="2">
        <v>45313</v>
      </c>
      <c r="B82" s="1" t="s">
        <v>17</v>
      </c>
      <c r="C82" s="1" t="s">
        <v>35</v>
      </c>
      <c r="D82" s="1" t="s">
        <v>27</v>
      </c>
      <c r="E82" s="1" t="s">
        <v>28</v>
      </c>
      <c r="F82" s="1">
        <v>18</v>
      </c>
      <c r="G82" s="1" t="str" cm="1">
        <f t="array" ref="G82">_xlfn.IFS(F82&lt;=25,"YOUTH",F82&lt;=48,"ADULT",TRUE,"SENIOR")</f>
        <v>YOUTH</v>
      </c>
      <c r="H82" s="1" t="s">
        <v>21</v>
      </c>
      <c r="I82" s="1" t="s">
        <v>22</v>
      </c>
      <c r="J82" s="1" t="s">
        <v>38</v>
      </c>
      <c r="K82" s="1" t="s">
        <v>39</v>
      </c>
      <c r="L82" s="1">
        <v>41088</v>
      </c>
      <c r="M82" s="3">
        <f t="shared" si="3"/>
        <v>2.4727414330218068E-2</v>
      </c>
      <c r="N82" s="1">
        <v>1016</v>
      </c>
      <c r="O82" s="4">
        <f t="shared" si="4"/>
        <v>4.1300813008130079</v>
      </c>
      <c r="P82" s="1">
        <v>246</v>
      </c>
      <c r="Q82" s="1">
        <v>1345.25004320824</v>
      </c>
      <c r="R82" s="1">
        <v>7337.91568034795</v>
      </c>
      <c r="S82" s="5">
        <f t="shared" si="5"/>
        <v>7336.91568034795</v>
      </c>
      <c r="T82" s="1">
        <v>787</v>
      </c>
      <c r="U82" s="1">
        <v>125</v>
      </c>
      <c r="V82" s="1">
        <v>37</v>
      </c>
      <c r="W82" s="1">
        <v>4822</v>
      </c>
      <c r="X82" s="1">
        <v>0.49272010192368998</v>
      </c>
    </row>
    <row r="83" spans="1:24" x14ac:dyDescent="0.3">
      <c r="A83" s="2">
        <v>45310</v>
      </c>
      <c r="B83" s="1" t="s">
        <v>40</v>
      </c>
      <c r="C83" s="1" t="s">
        <v>18</v>
      </c>
      <c r="D83" s="1" t="s">
        <v>19</v>
      </c>
      <c r="E83" s="1" t="s">
        <v>20</v>
      </c>
      <c r="F83" s="1">
        <v>42</v>
      </c>
      <c r="G83" s="1" t="str" cm="1">
        <f t="array" ref="G83">_xlfn.IFS(F83&lt;=25,"YOUTH",F83&lt;=48,"ADULT",TRUE,"SENIOR")</f>
        <v>ADULT</v>
      </c>
      <c r="H83" s="1" t="s">
        <v>29</v>
      </c>
      <c r="I83" s="1" t="s">
        <v>43</v>
      </c>
      <c r="J83" s="1" t="s">
        <v>23</v>
      </c>
      <c r="K83" s="1" t="s">
        <v>31</v>
      </c>
      <c r="L83" s="1">
        <v>45135</v>
      </c>
      <c r="M83" s="3">
        <f t="shared" si="3"/>
        <v>9.0173922676415205E-2</v>
      </c>
      <c r="N83" s="1">
        <v>4070</v>
      </c>
      <c r="O83" s="4">
        <f t="shared" si="4"/>
        <v>4.1573033707865168</v>
      </c>
      <c r="P83" s="1">
        <v>979</v>
      </c>
      <c r="Q83" s="1">
        <v>5033.1153657149798</v>
      </c>
      <c r="R83" s="1">
        <v>39486.602183281</v>
      </c>
      <c r="S83" s="5">
        <f t="shared" si="5"/>
        <v>39485.602183281</v>
      </c>
      <c r="T83" s="1">
        <v>1029</v>
      </c>
      <c r="U83" s="1">
        <v>115</v>
      </c>
      <c r="V83" s="1">
        <v>29</v>
      </c>
      <c r="W83" s="1">
        <v>8274</v>
      </c>
      <c r="X83" s="1">
        <v>0.61688743620187703</v>
      </c>
    </row>
    <row r="84" spans="1:24" x14ac:dyDescent="0.3">
      <c r="A84" s="2">
        <v>45328</v>
      </c>
      <c r="B84" s="1" t="s">
        <v>25</v>
      </c>
      <c r="C84" s="1" t="s">
        <v>41</v>
      </c>
      <c r="D84" s="1" t="s">
        <v>27</v>
      </c>
      <c r="E84" s="1" t="s">
        <v>28</v>
      </c>
      <c r="F84" s="1">
        <v>24</v>
      </c>
      <c r="G84" s="1" t="str" cm="1">
        <f t="array" ref="G84">_xlfn.IFS(F84&lt;=25,"YOUTH",F84&lt;=48,"ADULT",TRUE,"SENIOR")</f>
        <v>YOUTH</v>
      </c>
      <c r="H84" s="1" t="s">
        <v>21</v>
      </c>
      <c r="I84" s="1" t="s">
        <v>37</v>
      </c>
      <c r="J84" s="1" t="s">
        <v>38</v>
      </c>
      <c r="K84" s="1" t="s">
        <v>31</v>
      </c>
      <c r="L84" s="1">
        <v>39015</v>
      </c>
      <c r="M84" s="3">
        <f t="shared" si="3"/>
        <v>8.0071767268999103E-2</v>
      </c>
      <c r="N84" s="1">
        <v>3124</v>
      </c>
      <c r="O84" s="4">
        <f t="shared" si="4"/>
        <v>9.7931034482758612</v>
      </c>
      <c r="P84" s="1">
        <v>319</v>
      </c>
      <c r="Q84" s="1">
        <v>2494.3430390631602</v>
      </c>
      <c r="R84" s="1">
        <v>11298.676566165201</v>
      </c>
      <c r="S84" s="5">
        <f t="shared" si="5"/>
        <v>11297.676566165201</v>
      </c>
      <c r="T84" s="1">
        <v>1016</v>
      </c>
      <c r="U84" s="1">
        <v>130</v>
      </c>
      <c r="V84" s="1">
        <v>77</v>
      </c>
      <c r="W84" s="1">
        <v>7568</v>
      </c>
      <c r="X84" s="1">
        <v>0.82166986693488397</v>
      </c>
    </row>
    <row r="85" spans="1:24" x14ac:dyDescent="0.3">
      <c r="A85" s="2">
        <v>45309</v>
      </c>
      <c r="B85" s="1" t="s">
        <v>34</v>
      </c>
      <c r="C85" s="1" t="s">
        <v>35</v>
      </c>
      <c r="D85" s="1" t="s">
        <v>19</v>
      </c>
      <c r="E85" s="1" t="s">
        <v>20</v>
      </c>
      <c r="F85" s="1">
        <v>26</v>
      </c>
      <c r="G85" s="1" t="str" cm="1">
        <f t="array" ref="G85">_xlfn.IFS(F85&lt;=25,"YOUTH",F85&lt;=48,"ADULT",TRUE,"SENIOR")</f>
        <v>ADULT</v>
      </c>
      <c r="H85" s="1" t="s">
        <v>21</v>
      </c>
      <c r="I85" s="1" t="s">
        <v>37</v>
      </c>
      <c r="J85" s="1" t="s">
        <v>30</v>
      </c>
      <c r="K85" s="1" t="s">
        <v>31</v>
      </c>
      <c r="L85" s="1">
        <v>35502</v>
      </c>
      <c r="M85" s="3">
        <f t="shared" si="3"/>
        <v>0.12976733705143373</v>
      </c>
      <c r="N85" s="1">
        <v>4607</v>
      </c>
      <c r="O85" s="4">
        <f t="shared" si="4"/>
        <v>28.614906832298136</v>
      </c>
      <c r="P85" s="1">
        <v>161</v>
      </c>
      <c r="Q85" s="1">
        <v>2140.6789244851602</v>
      </c>
      <c r="R85" s="1">
        <v>2137.11635883999</v>
      </c>
      <c r="S85" s="5">
        <f t="shared" si="5"/>
        <v>2136.11635883999</v>
      </c>
      <c r="T85" s="1">
        <v>589</v>
      </c>
      <c r="U85" s="1">
        <v>39</v>
      </c>
      <c r="V85" s="1">
        <v>46</v>
      </c>
      <c r="W85" s="1">
        <v>4780</v>
      </c>
      <c r="X85" s="1">
        <v>0.91633775036407095</v>
      </c>
    </row>
    <row r="86" spans="1:24" x14ac:dyDescent="0.3">
      <c r="A86" s="2">
        <v>45322</v>
      </c>
      <c r="B86" s="1" t="s">
        <v>17</v>
      </c>
      <c r="C86" s="1" t="s">
        <v>26</v>
      </c>
      <c r="D86" s="1" t="s">
        <v>32</v>
      </c>
      <c r="E86" s="1" t="s">
        <v>28</v>
      </c>
      <c r="F86" s="1">
        <v>41</v>
      </c>
      <c r="G86" s="1" t="str" cm="1">
        <f t="array" ref="G86">_xlfn.IFS(F86&lt;=25,"YOUTH",F86&lt;=48,"ADULT",TRUE,"SENIOR")</f>
        <v>ADULT</v>
      </c>
      <c r="H86" s="1" t="s">
        <v>29</v>
      </c>
      <c r="I86" s="1" t="s">
        <v>37</v>
      </c>
      <c r="J86" s="1" t="s">
        <v>38</v>
      </c>
      <c r="K86" s="1" t="s">
        <v>24</v>
      </c>
      <c r="L86" s="1">
        <v>32385</v>
      </c>
      <c r="M86" s="3">
        <f t="shared" si="3"/>
        <v>8.4267407750501774E-2</v>
      </c>
      <c r="N86" s="1">
        <v>2729</v>
      </c>
      <c r="O86" s="4">
        <f t="shared" si="4"/>
        <v>17.163522012578618</v>
      </c>
      <c r="P86" s="1">
        <v>159</v>
      </c>
      <c r="Q86" s="1">
        <v>4573.75318797827</v>
      </c>
      <c r="R86" s="1">
        <v>7507.6909503423803</v>
      </c>
      <c r="S86" s="5">
        <f t="shared" si="5"/>
        <v>7506.6909503423803</v>
      </c>
      <c r="T86" s="1">
        <v>778</v>
      </c>
      <c r="U86" s="1">
        <v>154</v>
      </c>
      <c r="V86" s="1">
        <v>71</v>
      </c>
      <c r="W86" s="1">
        <v>6376</v>
      </c>
      <c r="X86" s="1">
        <v>0.63503140428570404</v>
      </c>
    </row>
    <row r="87" spans="1:24" x14ac:dyDescent="0.3">
      <c r="A87" s="2">
        <v>45328</v>
      </c>
      <c r="B87" s="1" t="s">
        <v>40</v>
      </c>
      <c r="C87" s="1" t="s">
        <v>26</v>
      </c>
      <c r="D87" s="1" t="s">
        <v>36</v>
      </c>
      <c r="E87" s="1" t="s">
        <v>28</v>
      </c>
      <c r="F87" s="1">
        <v>18</v>
      </c>
      <c r="G87" s="1" t="str" cm="1">
        <f t="array" ref="G87">_xlfn.IFS(F87&lt;=25,"YOUTH",F87&lt;=48,"ADULT",TRUE,"SENIOR")</f>
        <v>YOUTH</v>
      </c>
      <c r="H87" s="1" t="s">
        <v>21</v>
      </c>
      <c r="I87" s="1" t="s">
        <v>22</v>
      </c>
      <c r="J87" s="1" t="s">
        <v>23</v>
      </c>
      <c r="K87" s="1" t="s">
        <v>31</v>
      </c>
      <c r="L87" s="1">
        <v>5663</v>
      </c>
      <c r="M87" s="3">
        <f t="shared" si="3"/>
        <v>4.5558891047148158E-2</v>
      </c>
      <c r="N87" s="1">
        <v>258</v>
      </c>
      <c r="O87" s="4">
        <f t="shared" si="4"/>
        <v>4.03125</v>
      </c>
      <c r="P87" s="1">
        <v>64</v>
      </c>
      <c r="Q87" s="1">
        <v>296.18004299036102</v>
      </c>
      <c r="R87" s="1">
        <v>623.89539149999996</v>
      </c>
      <c r="S87" s="5">
        <f t="shared" si="5"/>
        <v>622.89539149999996</v>
      </c>
      <c r="T87" s="1">
        <v>102</v>
      </c>
      <c r="U87" s="1">
        <v>9</v>
      </c>
      <c r="V87" s="1">
        <v>2</v>
      </c>
      <c r="W87" s="1">
        <v>670</v>
      </c>
      <c r="X87" s="1">
        <v>0.82578623587344102</v>
      </c>
    </row>
    <row r="88" spans="1:24" x14ac:dyDescent="0.3">
      <c r="A88" s="2">
        <v>45321</v>
      </c>
      <c r="B88" s="1" t="s">
        <v>17</v>
      </c>
      <c r="C88" s="1" t="s">
        <v>35</v>
      </c>
      <c r="D88" s="1" t="s">
        <v>32</v>
      </c>
      <c r="E88" s="1" t="s">
        <v>20</v>
      </c>
      <c r="F88" s="1">
        <v>25</v>
      </c>
      <c r="G88" s="1" t="str" cm="1">
        <f t="array" ref="G88">_xlfn.IFS(F88&lt;=25,"YOUTH",F88&lt;=48,"ADULT",TRUE,"SENIOR")</f>
        <v>YOUTH</v>
      </c>
      <c r="H88" s="1" t="s">
        <v>21</v>
      </c>
      <c r="I88" s="1" t="s">
        <v>22</v>
      </c>
      <c r="J88" s="1" t="s">
        <v>23</v>
      </c>
      <c r="K88" s="1" t="s">
        <v>39</v>
      </c>
      <c r="L88" s="1">
        <v>39677</v>
      </c>
      <c r="M88" s="3">
        <f t="shared" si="3"/>
        <v>0.10456939788794516</v>
      </c>
      <c r="N88" s="1">
        <v>4149</v>
      </c>
      <c r="O88" s="4">
        <f t="shared" si="4"/>
        <v>6.6919354838709681</v>
      </c>
      <c r="P88" s="1">
        <v>620</v>
      </c>
      <c r="Q88" s="1">
        <v>4107.7256319988001</v>
      </c>
      <c r="R88" s="1">
        <v>18341.245728167502</v>
      </c>
      <c r="S88" s="5">
        <f t="shared" si="5"/>
        <v>18340.245728167502</v>
      </c>
      <c r="T88" s="1">
        <v>419</v>
      </c>
      <c r="U88" s="1">
        <v>60</v>
      </c>
      <c r="V88" s="1">
        <v>13</v>
      </c>
      <c r="W88" s="1">
        <v>3733</v>
      </c>
      <c r="X88" s="1">
        <v>0.65872419070674504</v>
      </c>
    </row>
    <row r="89" spans="1:24" x14ac:dyDescent="0.3">
      <c r="A89" s="2">
        <v>45348</v>
      </c>
      <c r="B89" s="1" t="s">
        <v>34</v>
      </c>
      <c r="C89" s="1" t="s">
        <v>18</v>
      </c>
      <c r="D89" s="1" t="s">
        <v>36</v>
      </c>
      <c r="E89" s="1" t="s">
        <v>28</v>
      </c>
      <c r="F89" s="1">
        <v>41</v>
      </c>
      <c r="G89" s="1" t="str" cm="1">
        <f t="array" ref="G89">_xlfn.IFS(F89&lt;=25,"YOUTH",F89&lt;=48,"ADULT",TRUE,"SENIOR")</f>
        <v>ADULT</v>
      </c>
      <c r="H89" s="1" t="s">
        <v>21</v>
      </c>
      <c r="I89" s="1" t="s">
        <v>33</v>
      </c>
      <c r="J89" s="1" t="s">
        <v>23</v>
      </c>
      <c r="K89" s="1" t="s">
        <v>39</v>
      </c>
      <c r="L89" s="1">
        <v>13818</v>
      </c>
      <c r="M89" s="3">
        <f t="shared" si="3"/>
        <v>8.5902446084816911E-2</v>
      </c>
      <c r="N89" s="1">
        <v>1187</v>
      </c>
      <c r="O89" s="4">
        <f t="shared" si="4"/>
        <v>9.8099173553719012</v>
      </c>
      <c r="P89" s="1">
        <v>121</v>
      </c>
      <c r="Q89" s="1">
        <v>770.58299568496898</v>
      </c>
      <c r="R89" s="1">
        <v>6189.3808194656704</v>
      </c>
      <c r="S89" s="5">
        <f t="shared" si="5"/>
        <v>6188.3808194656704</v>
      </c>
      <c r="T89" s="1">
        <v>185</v>
      </c>
      <c r="U89" s="1">
        <v>25</v>
      </c>
      <c r="V89" s="1">
        <v>12</v>
      </c>
      <c r="W89" s="1">
        <v>1586</v>
      </c>
      <c r="X89" s="1">
        <v>0.56237553699999998</v>
      </c>
    </row>
    <row r="90" spans="1:24" x14ac:dyDescent="0.3">
      <c r="A90" s="2">
        <v>45333</v>
      </c>
      <c r="B90" s="1" t="s">
        <v>40</v>
      </c>
      <c r="C90" s="1" t="s">
        <v>26</v>
      </c>
      <c r="D90" s="1" t="s">
        <v>27</v>
      </c>
      <c r="E90" s="1" t="s">
        <v>20</v>
      </c>
      <c r="F90" s="1">
        <v>28</v>
      </c>
      <c r="G90" s="1" t="str" cm="1">
        <f t="array" ref="G90">_xlfn.IFS(F90&lt;=25,"YOUTH",F90&lt;=48,"ADULT",TRUE,"SENIOR")</f>
        <v>ADULT</v>
      </c>
      <c r="H90" s="1" t="s">
        <v>21</v>
      </c>
      <c r="I90" s="1" t="s">
        <v>43</v>
      </c>
      <c r="J90" s="1" t="s">
        <v>23</v>
      </c>
      <c r="K90" s="1" t="s">
        <v>39</v>
      </c>
      <c r="L90" s="1">
        <v>23686</v>
      </c>
      <c r="M90" s="3">
        <f t="shared" si="3"/>
        <v>4.2599003630836782E-2</v>
      </c>
      <c r="N90" s="1">
        <v>1009</v>
      </c>
      <c r="O90" s="4">
        <f t="shared" si="4"/>
        <v>11.597701149425287</v>
      </c>
      <c r="P90" s="1">
        <v>87</v>
      </c>
      <c r="Q90" s="1">
        <v>2035.3073005486201</v>
      </c>
      <c r="R90" s="1">
        <v>548.23308770894005</v>
      </c>
      <c r="S90" s="5">
        <f t="shared" si="5"/>
        <v>547.23308770894005</v>
      </c>
      <c r="T90" s="1">
        <v>408</v>
      </c>
      <c r="U90" s="1">
        <v>68</v>
      </c>
      <c r="V90" s="1">
        <v>28</v>
      </c>
      <c r="W90" s="1">
        <v>757</v>
      </c>
      <c r="X90" s="1">
        <v>0.80659583289921599</v>
      </c>
    </row>
    <row r="91" spans="1:24" x14ac:dyDescent="0.3">
      <c r="A91" s="2">
        <v>45324</v>
      </c>
      <c r="B91" s="1" t="s">
        <v>25</v>
      </c>
      <c r="C91" s="1" t="s">
        <v>18</v>
      </c>
      <c r="D91" s="1" t="s">
        <v>27</v>
      </c>
      <c r="E91" s="1" t="s">
        <v>28</v>
      </c>
      <c r="F91" s="1">
        <v>34</v>
      </c>
      <c r="G91" s="1" t="str" cm="1">
        <f t="array" ref="G91">_xlfn.IFS(F91&lt;=25,"YOUTH",F91&lt;=48,"ADULT",TRUE,"SENIOR")</f>
        <v>ADULT</v>
      </c>
      <c r="H91" s="1" t="s">
        <v>21</v>
      </c>
      <c r="I91" s="1" t="s">
        <v>33</v>
      </c>
      <c r="J91" s="1" t="s">
        <v>23</v>
      </c>
      <c r="K91" s="1" t="s">
        <v>39</v>
      </c>
      <c r="L91" s="1">
        <v>24977</v>
      </c>
      <c r="M91" s="3">
        <f t="shared" si="3"/>
        <v>9.0283060415582331E-2</v>
      </c>
      <c r="N91" s="1">
        <v>2255</v>
      </c>
      <c r="O91" s="4">
        <f t="shared" si="4"/>
        <v>12.668539325842696</v>
      </c>
      <c r="P91" s="1">
        <v>178</v>
      </c>
      <c r="Q91" s="1">
        <v>3052.6408851890401</v>
      </c>
      <c r="R91" s="1">
        <v>7484.7012163543004</v>
      </c>
      <c r="S91" s="5">
        <f t="shared" si="5"/>
        <v>7483.7012163543004</v>
      </c>
      <c r="T91" s="1">
        <v>322</v>
      </c>
      <c r="U91" s="1">
        <v>30</v>
      </c>
      <c r="V91" s="1">
        <v>7</v>
      </c>
      <c r="W91" s="1">
        <v>2156</v>
      </c>
      <c r="X91" s="1">
        <v>0.839011173689729</v>
      </c>
    </row>
    <row r="92" spans="1:24" x14ac:dyDescent="0.3">
      <c r="A92" s="2">
        <v>45301</v>
      </c>
      <c r="B92" s="1" t="s">
        <v>40</v>
      </c>
      <c r="C92" s="1" t="s">
        <v>35</v>
      </c>
      <c r="D92" s="1" t="s">
        <v>32</v>
      </c>
      <c r="E92" s="1" t="s">
        <v>28</v>
      </c>
      <c r="F92" s="1">
        <v>25</v>
      </c>
      <c r="G92" s="1" t="str" cm="1">
        <f t="array" ref="G92">_xlfn.IFS(F92&lt;=25,"YOUTH",F92&lt;=48,"ADULT",TRUE,"SENIOR")</f>
        <v>YOUTH</v>
      </c>
      <c r="H92" s="1" t="s">
        <v>21</v>
      </c>
      <c r="I92" s="1" t="s">
        <v>43</v>
      </c>
      <c r="J92" s="1" t="s">
        <v>38</v>
      </c>
      <c r="K92" s="1" t="s">
        <v>31</v>
      </c>
      <c r="L92" s="1">
        <v>41931</v>
      </c>
      <c r="M92" s="3">
        <f t="shared" si="3"/>
        <v>0.12501490543988933</v>
      </c>
      <c r="N92" s="1">
        <v>5242</v>
      </c>
      <c r="O92" s="4">
        <f t="shared" si="4"/>
        <v>5.7922651933701657</v>
      </c>
      <c r="P92" s="1">
        <v>905</v>
      </c>
      <c r="Q92" s="1">
        <v>5644.9159273628402</v>
      </c>
      <c r="R92" s="1">
        <v>24203.196303979399</v>
      </c>
      <c r="S92" s="5">
        <f t="shared" si="5"/>
        <v>24202.196303979399</v>
      </c>
      <c r="T92" s="1">
        <v>561</v>
      </c>
      <c r="U92" s="1">
        <v>91</v>
      </c>
      <c r="V92" s="1">
        <v>29</v>
      </c>
      <c r="W92" s="1">
        <v>4071</v>
      </c>
      <c r="X92" s="1">
        <v>0.51156243674437396</v>
      </c>
    </row>
    <row r="93" spans="1:24" x14ac:dyDescent="0.3">
      <c r="A93" s="2">
        <v>45328</v>
      </c>
      <c r="B93" s="1" t="s">
        <v>17</v>
      </c>
      <c r="C93" s="1" t="s">
        <v>35</v>
      </c>
      <c r="D93" s="1" t="s">
        <v>36</v>
      </c>
      <c r="E93" s="1" t="s">
        <v>28</v>
      </c>
      <c r="F93" s="1">
        <v>52</v>
      </c>
      <c r="G93" s="1" t="str" cm="1">
        <f t="array" ref="G93">_xlfn.IFS(F93&lt;=25,"YOUTH",F93&lt;=48,"ADULT",TRUE,"SENIOR")</f>
        <v>SENIOR</v>
      </c>
      <c r="H93" s="1" t="s">
        <v>29</v>
      </c>
      <c r="I93" s="1" t="s">
        <v>22</v>
      </c>
      <c r="J93" s="1" t="s">
        <v>38</v>
      </c>
      <c r="K93" s="1" t="s">
        <v>39</v>
      </c>
      <c r="L93" s="1">
        <v>19454</v>
      </c>
      <c r="M93" s="3">
        <f t="shared" si="3"/>
        <v>1.3981700421507145E-2</v>
      </c>
      <c r="N93" s="1">
        <v>272</v>
      </c>
      <c r="O93" s="4">
        <f t="shared" si="4"/>
        <v>8.7741935483870961</v>
      </c>
      <c r="P93" s="1">
        <v>31</v>
      </c>
      <c r="Q93" s="1">
        <v>2510.1620946509802</v>
      </c>
      <c r="R93" s="1">
        <v>172.79616449680901</v>
      </c>
      <c r="S93" s="5">
        <f t="shared" si="5"/>
        <v>171.79616449680901</v>
      </c>
      <c r="T93" s="1">
        <v>261</v>
      </c>
      <c r="U93" s="1">
        <v>28</v>
      </c>
      <c r="V93" s="1">
        <v>17</v>
      </c>
      <c r="W93" s="1">
        <v>3331</v>
      </c>
      <c r="X93" s="1">
        <v>0.56784322612493099</v>
      </c>
    </row>
    <row r="94" spans="1:24" x14ac:dyDescent="0.3">
      <c r="A94" s="2">
        <v>45303</v>
      </c>
      <c r="B94" s="1" t="s">
        <v>17</v>
      </c>
      <c r="C94" s="1" t="s">
        <v>26</v>
      </c>
      <c r="D94" s="1" t="s">
        <v>32</v>
      </c>
      <c r="E94" s="1" t="s">
        <v>20</v>
      </c>
      <c r="F94" s="1">
        <v>52</v>
      </c>
      <c r="G94" s="1" t="str" cm="1">
        <f t="array" ref="G94">_xlfn.IFS(F94&lt;=25,"YOUTH",F94&lt;=48,"ADULT",TRUE,"SENIOR")</f>
        <v>SENIOR</v>
      </c>
      <c r="H94" s="1" t="s">
        <v>29</v>
      </c>
      <c r="I94" s="1" t="s">
        <v>37</v>
      </c>
      <c r="J94" s="1" t="s">
        <v>23</v>
      </c>
      <c r="K94" s="1" t="s">
        <v>24</v>
      </c>
      <c r="L94" s="1">
        <v>14358</v>
      </c>
      <c r="M94" s="3">
        <f t="shared" si="3"/>
        <v>9.8272739935924225E-2</v>
      </c>
      <c r="N94" s="1">
        <v>1411</v>
      </c>
      <c r="O94" s="4">
        <f t="shared" si="4"/>
        <v>4.1378299120234603</v>
      </c>
      <c r="P94" s="1">
        <v>341</v>
      </c>
      <c r="Q94" s="1">
        <v>1373.8236312434101</v>
      </c>
      <c r="R94" s="1">
        <v>5924.8452030664403</v>
      </c>
      <c r="S94" s="5">
        <f t="shared" si="5"/>
        <v>5923.8452030664403</v>
      </c>
      <c r="T94" s="1">
        <v>115</v>
      </c>
      <c r="U94" s="1">
        <v>12</v>
      </c>
      <c r="V94" s="1">
        <v>9</v>
      </c>
      <c r="W94" s="1">
        <v>2213</v>
      </c>
      <c r="X94" s="1">
        <v>0.67212726391051403</v>
      </c>
    </row>
    <row r="95" spans="1:24" x14ac:dyDescent="0.3">
      <c r="A95" s="2">
        <v>45345</v>
      </c>
      <c r="B95" s="1" t="s">
        <v>17</v>
      </c>
      <c r="C95" s="1" t="s">
        <v>35</v>
      </c>
      <c r="D95" s="1" t="s">
        <v>36</v>
      </c>
      <c r="E95" s="1" t="s">
        <v>20</v>
      </c>
      <c r="F95" s="1">
        <v>50</v>
      </c>
      <c r="G95" s="1" t="str" cm="1">
        <f t="array" ref="G95">_xlfn.IFS(F95&lt;=25,"YOUTH",F95&lt;=48,"ADULT",TRUE,"SENIOR")</f>
        <v>SENIOR</v>
      </c>
      <c r="H95" s="1" t="s">
        <v>29</v>
      </c>
      <c r="I95" s="1" t="s">
        <v>33</v>
      </c>
      <c r="J95" s="1" t="s">
        <v>23</v>
      </c>
      <c r="K95" s="1" t="s">
        <v>31</v>
      </c>
      <c r="L95" s="1">
        <v>7668</v>
      </c>
      <c r="M95" s="3">
        <f t="shared" si="3"/>
        <v>5.8815858111632757E-2</v>
      </c>
      <c r="N95" s="1">
        <v>451</v>
      </c>
      <c r="O95" s="4">
        <f t="shared" si="4"/>
        <v>5.7088607594936711</v>
      </c>
      <c r="P95" s="1">
        <v>79</v>
      </c>
      <c r="Q95" s="1">
        <v>401.39005578175301</v>
      </c>
      <c r="R95" s="1">
        <v>5226.7587024448103</v>
      </c>
      <c r="S95" s="5">
        <f t="shared" si="5"/>
        <v>5225.7587024448103</v>
      </c>
      <c r="T95" s="1">
        <v>54</v>
      </c>
      <c r="U95" s="1">
        <v>8</v>
      </c>
      <c r="V95" s="1">
        <v>2</v>
      </c>
      <c r="W95" s="1">
        <v>952</v>
      </c>
      <c r="X95" s="1">
        <v>0.502587006371782</v>
      </c>
    </row>
    <row r="96" spans="1:24" x14ac:dyDescent="0.3">
      <c r="A96" s="2">
        <v>45321</v>
      </c>
      <c r="B96" s="1" t="s">
        <v>17</v>
      </c>
      <c r="C96" s="1" t="s">
        <v>41</v>
      </c>
      <c r="D96" s="1" t="s">
        <v>36</v>
      </c>
      <c r="E96" s="1" t="s">
        <v>20</v>
      </c>
      <c r="F96" s="1">
        <v>22</v>
      </c>
      <c r="G96" s="1" t="str" cm="1">
        <f t="array" ref="G96">_xlfn.IFS(F96&lt;=25,"YOUTH",F96&lt;=48,"ADULT",TRUE,"SENIOR")</f>
        <v>YOUTH</v>
      </c>
      <c r="H96" s="1" t="s">
        <v>21</v>
      </c>
      <c r="I96" s="1" t="s">
        <v>37</v>
      </c>
      <c r="J96" s="1" t="s">
        <v>38</v>
      </c>
      <c r="K96" s="1" t="s">
        <v>31</v>
      </c>
      <c r="L96" s="1">
        <v>46784</v>
      </c>
      <c r="M96" s="3">
        <f t="shared" si="3"/>
        <v>5.0957592339261289E-2</v>
      </c>
      <c r="N96" s="1">
        <v>2384</v>
      </c>
      <c r="O96" s="4">
        <f t="shared" si="4"/>
        <v>4.9563409563409566</v>
      </c>
      <c r="P96" s="1">
        <v>481</v>
      </c>
      <c r="Q96" s="1">
        <v>4957.248538328</v>
      </c>
      <c r="R96" s="1">
        <v>18698.7205306166</v>
      </c>
      <c r="S96" s="5">
        <f t="shared" si="5"/>
        <v>18697.7205306166</v>
      </c>
      <c r="T96" s="1">
        <v>288</v>
      </c>
      <c r="U96" s="1">
        <v>48</v>
      </c>
      <c r="V96" s="1">
        <v>16</v>
      </c>
      <c r="W96" s="1">
        <v>3554</v>
      </c>
      <c r="X96" s="1">
        <v>0.91085886431458496</v>
      </c>
    </row>
    <row r="97" spans="1:24" x14ac:dyDescent="0.3">
      <c r="A97" s="2">
        <v>45318</v>
      </c>
      <c r="B97" s="1" t="s">
        <v>25</v>
      </c>
      <c r="C97" s="1" t="s">
        <v>41</v>
      </c>
      <c r="D97" s="1" t="s">
        <v>27</v>
      </c>
      <c r="E97" s="1" t="s">
        <v>20</v>
      </c>
      <c r="F97" s="1">
        <v>59</v>
      </c>
      <c r="G97" s="1" t="str" cm="1">
        <f t="array" ref="G97">_xlfn.IFS(F97&lt;=25,"YOUTH",F97&lt;=48,"ADULT",TRUE,"SENIOR")</f>
        <v>SENIOR</v>
      </c>
      <c r="H97" s="1" t="s">
        <v>29</v>
      </c>
      <c r="I97" s="1" t="s">
        <v>33</v>
      </c>
      <c r="J97" s="1" t="s">
        <v>23</v>
      </c>
      <c r="K97" s="1" t="s">
        <v>39</v>
      </c>
      <c r="L97" s="1">
        <v>41769</v>
      </c>
      <c r="M97" s="3">
        <f t="shared" si="3"/>
        <v>6.49524767171826E-2</v>
      </c>
      <c r="N97" s="1">
        <v>2713</v>
      </c>
      <c r="O97" s="4">
        <f t="shared" si="4"/>
        <v>11.495762711864407</v>
      </c>
      <c r="P97" s="1">
        <v>236</v>
      </c>
      <c r="Q97" s="1">
        <v>4690.1431014318896</v>
      </c>
      <c r="R97" s="1">
        <v>16477.4653190108</v>
      </c>
      <c r="S97" s="5">
        <f t="shared" si="5"/>
        <v>16476.4653190108</v>
      </c>
      <c r="T97" s="1">
        <v>324</v>
      </c>
      <c r="U97" s="1">
        <v>48</v>
      </c>
      <c r="V97" s="1">
        <v>27</v>
      </c>
      <c r="W97" s="1">
        <v>1902</v>
      </c>
      <c r="X97" s="1">
        <v>0.72523365190841105</v>
      </c>
    </row>
    <row r="98" spans="1:24" x14ac:dyDescent="0.3">
      <c r="A98" s="2">
        <v>45330</v>
      </c>
      <c r="B98" s="1" t="s">
        <v>40</v>
      </c>
      <c r="C98" s="1" t="s">
        <v>26</v>
      </c>
      <c r="D98" s="1" t="s">
        <v>27</v>
      </c>
      <c r="E98" s="1" t="s">
        <v>20</v>
      </c>
      <c r="F98" s="1">
        <v>56</v>
      </c>
      <c r="G98" s="1" t="str" cm="1">
        <f t="array" ref="G98">_xlfn.IFS(F98&lt;=25,"YOUTH",F98&lt;=48,"ADULT",TRUE,"SENIOR")</f>
        <v>SENIOR</v>
      </c>
      <c r="H98" s="1" t="s">
        <v>21</v>
      </c>
      <c r="I98" s="1" t="s">
        <v>22</v>
      </c>
      <c r="J98" s="1" t="s">
        <v>23</v>
      </c>
      <c r="K98" s="1" t="s">
        <v>24</v>
      </c>
      <c r="L98" s="1">
        <v>10921</v>
      </c>
      <c r="M98" s="3">
        <f t="shared" si="3"/>
        <v>5.7870158410401981E-2</v>
      </c>
      <c r="N98" s="1">
        <v>632</v>
      </c>
      <c r="O98" s="4">
        <f t="shared" si="4"/>
        <v>26.333333333333332</v>
      </c>
      <c r="P98" s="1">
        <v>24</v>
      </c>
      <c r="Q98" s="1">
        <v>233.599739123841</v>
      </c>
      <c r="R98" s="1">
        <v>938.71413056899598</v>
      </c>
      <c r="S98" s="5">
        <f t="shared" si="5"/>
        <v>937.71413056899598</v>
      </c>
      <c r="T98" s="1">
        <v>148</v>
      </c>
      <c r="U98" s="1">
        <v>27</v>
      </c>
      <c r="V98" s="1">
        <v>14</v>
      </c>
      <c r="W98" s="1">
        <v>830</v>
      </c>
      <c r="X98" s="1">
        <v>0.46666180299999999</v>
      </c>
    </row>
    <row r="99" spans="1:24" x14ac:dyDescent="0.3">
      <c r="A99" s="2">
        <v>45300</v>
      </c>
      <c r="B99" s="1" t="s">
        <v>25</v>
      </c>
      <c r="C99" s="1" t="s">
        <v>41</v>
      </c>
      <c r="D99" s="1" t="s">
        <v>36</v>
      </c>
      <c r="E99" s="1" t="s">
        <v>28</v>
      </c>
      <c r="F99" s="1">
        <v>58</v>
      </c>
      <c r="G99" s="1" t="str" cm="1">
        <f t="array" ref="G99">_xlfn.IFS(F99&lt;=25,"YOUTH",F99&lt;=48,"ADULT",TRUE,"SENIOR")</f>
        <v>SENIOR</v>
      </c>
      <c r="H99" s="1" t="s">
        <v>21</v>
      </c>
      <c r="I99" s="1" t="s">
        <v>22</v>
      </c>
      <c r="J99" s="1" t="s">
        <v>38</v>
      </c>
      <c r="K99" s="1" t="s">
        <v>31</v>
      </c>
      <c r="L99" s="1">
        <v>35959</v>
      </c>
      <c r="M99" s="3">
        <f t="shared" si="3"/>
        <v>0.12650518646235992</v>
      </c>
      <c r="N99" s="1">
        <v>4549</v>
      </c>
      <c r="O99" s="4">
        <f t="shared" si="4"/>
        <v>7.5690515806988357</v>
      </c>
      <c r="P99" s="1">
        <v>601</v>
      </c>
      <c r="Q99" s="1">
        <v>2772.3441991379</v>
      </c>
      <c r="R99" s="1">
        <v>24253.8759461193</v>
      </c>
      <c r="S99" s="5">
        <f t="shared" si="5"/>
        <v>24252.8759461193</v>
      </c>
      <c r="T99" s="1">
        <v>713</v>
      </c>
      <c r="U99" s="1">
        <v>66</v>
      </c>
      <c r="V99" s="1">
        <v>27</v>
      </c>
      <c r="W99" s="1">
        <v>5004</v>
      </c>
      <c r="X99" s="1">
        <v>0.50121642557535395</v>
      </c>
    </row>
    <row r="100" spans="1:24" x14ac:dyDescent="0.3">
      <c r="A100" s="2">
        <v>45345</v>
      </c>
      <c r="B100" s="1" t="s">
        <v>25</v>
      </c>
      <c r="C100" s="1" t="s">
        <v>18</v>
      </c>
      <c r="D100" s="1" t="s">
        <v>36</v>
      </c>
      <c r="E100" s="1" t="s">
        <v>28</v>
      </c>
      <c r="F100" s="1">
        <v>45</v>
      </c>
      <c r="G100" s="1" t="str" cm="1">
        <f t="array" ref="G100">_xlfn.IFS(F100&lt;=25,"YOUTH",F100&lt;=48,"ADULT",TRUE,"SENIOR")</f>
        <v>ADULT</v>
      </c>
      <c r="H100" s="1" t="s">
        <v>21</v>
      </c>
      <c r="I100" s="1" t="s">
        <v>22</v>
      </c>
      <c r="J100" s="1" t="s">
        <v>23</v>
      </c>
      <c r="K100" s="1" t="s">
        <v>39</v>
      </c>
      <c r="L100" s="1">
        <v>33328</v>
      </c>
      <c r="M100" s="3">
        <f t="shared" si="3"/>
        <v>4.8457753240518486E-2</v>
      </c>
      <c r="N100" s="1">
        <v>1615</v>
      </c>
      <c r="O100" s="4">
        <f t="shared" si="4"/>
        <v>10.838926174496644</v>
      </c>
      <c r="P100" s="1">
        <v>149</v>
      </c>
      <c r="Q100" s="1">
        <v>4320.1108572112798</v>
      </c>
      <c r="R100" s="1">
        <v>4539.99958025467</v>
      </c>
      <c r="S100" s="5">
        <f t="shared" si="5"/>
        <v>4538.99958025467</v>
      </c>
      <c r="T100" s="1">
        <v>323</v>
      </c>
      <c r="U100" s="1">
        <v>59</v>
      </c>
      <c r="V100" s="1">
        <v>12</v>
      </c>
      <c r="W100" s="1">
        <v>1998</v>
      </c>
      <c r="X100" s="1">
        <v>0.92489543992866396</v>
      </c>
    </row>
    <row r="101" spans="1:24" x14ac:dyDescent="0.3">
      <c r="A101" s="2">
        <v>45312</v>
      </c>
      <c r="B101" s="1" t="s">
        <v>25</v>
      </c>
      <c r="C101" s="1" t="s">
        <v>26</v>
      </c>
      <c r="D101" s="1" t="s">
        <v>36</v>
      </c>
      <c r="E101" s="1" t="s">
        <v>20</v>
      </c>
      <c r="F101" s="1">
        <v>24</v>
      </c>
      <c r="G101" s="1" t="str" cm="1">
        <f t="array" ref="G101">_xlfn.IFS(F101&lt;=25,"YOUTH",F101&lt;=48,"ADULT",TRUE,"SENIOR")</f>
        <v>YOUTH</v>
      </c>
      <c r="H101" s="1" t="s">
        <v>42</v>
      </c>
      <c r="I101" s="1" t="s">
        <v>33</v>
      </c>
      <c r="J101" s="1" t="s">
        <v>23</v>
      </c>
      <c r="K101" s="1" t="s">
        <v>24</v>
      </c>
      <c r="L101" s="1">
        <v>9859</v>
      </c>
      <c r="M101" s="3">
        <f t="shared" si="3"/>
        <v>0.11258748351759813</v>
      </c>
      <c r="N101" s="1">
        <v>1110</v>
      </c>
      <c r="O101" s="4">
        <f t="shared" si="4"/>
        <v>15.205479452054794</v>
      </c>
      <c r="P101" s="1">
        <v>73</v>
      </c>
      <c r="Q101" s="1">
        <v>824.66973447682597</v>
      </c>
      <c r="R101" s="1">
        <v>1836.1417868805599</v>
      </c>
      <c r="S101" s="5">
        <f t="shared" si="5"/>
        <v>1835.1417868805599</v>
      </c>
      <c r="T101" s="1">
        <v>268</v>
      </c>
      <c r="U101" s="1">
        <v>18</v>
      </c>
      <c r="V101" s="1">
        <v>25</v>
      </c>
      <c r="W101" s="1">
        <v>898</v>
      </c>
      <c r="X101" s="1">
        <v>0.80599272200000005</v>
      </c>
    </row>
    <row r="102" spans="1:24" x14ac:dyDescent="0.3">
      <c r="A102" s="2">
        <v>45303</v>
      </c>
      <c r="B102" s="1" t="s">
        <v>17</v>
      </c>
      <c r="C102" s="1" t="s">
        <v>26</v>
      </c>
      <c r="D102" s="1" t="s">
        <v>27</v>
      </c>
      <c r="E102" s="1" t="s">
        <v>28</v>
      </c>
      <c r="F102" s="1">
        <v>26</v>
      </c>
      <c r="G102" s="1" t="str" cm="1">
        <f t="array" ref="G102">_xlfn.IFS(F102&lt;=25,"YOUTH",F102&lt;=48,"ADULT",TRUE,"SENIOR")</f>
        <v>ADULT</v>
      </c>
      <c r="H102" s="1" t="s">
        <v>21</v>
      </c>
      <c r="I102" s="1" t="s">
        <v>43</v>
      </c>
      <c r="J102" s="1" t="s">
        <v>23</v>
      </c>
      <c r="K102" s="1" t="s">
        <v>31</v>
      </c>
      <c r="L102" s="1">
        <v>24970</v>
      </c>
      <c r="M102" s="3">
        <f t="shared" si="3"/>
        <v>2.3147777332799359E-2</v>
      </c>
      <c r="N102" s="1">
        <v>578</v>
      </c>
      <c r="O102" s="4">
        <f t="shared" si="4"/>
        <v>4.1884057971014492</v>
      </c>
      <c r="P102" s="1">
        <v>138</v>
      </c>
      <c r="Q102" s="1">
        <v>1510.15582280635</v>
      </c>
      <c r="R102" s="1">
        <v>2946.36361160251</v>
      </c>
      <c r="S102" s="5">
        <f t="shared" si="5"/>
        <v>2945.36361160251</v>
      </c>
      <c r="T102" s="1">
        <v>629</v>
      </c>
      <c r="U102" s="1">
        <v>93</v>
      </c>
      <c r="V102" s="1">
        <v>32</v>
      </c>
      <c r="W102" s="1">
        <v>2084</v>
      </c>
      <c r="X102" s="1">
        <v>0.80392279647774201</v>
      </c>
    </row>
    <row r="103" spans="1:24" x14ac:dyDescent="0.3">
      <c r="A103" s="2">
        <v>45346</v>
      </c>
      <c r="B103" s="1" t="s">
        <v>17</v>
      </c>
      <c r="C103" s="1" t="s">
        <v>18</v>
      </c>
      <c r="D103" s="1" t="s">
        <v>27</v>
      </c>
      <c r="E103" s="1" t="s">
        <v>28</v>
      </c>
      <c r="F103" s="1">
        <v>25</v>
      </c>
      <c r="G103" s="1" t="str" cm="1">
        <f t="array" ref="G103">_xlfn.IFS(F103&lt;=25,"YOUTH",F103&lt;=48,"ADULT",TRUE,"SENIOR")</f>
        <v>YOUTH</v>
      </c>
      <c r="H103" s="1" t="s">
        <v>21</v>
      </c>
      <c r="I103" s="1" t="s">
        <v>33</v>
      </c>
      <c r="J103" s="1" t="s">
        <v>38</v>
      </c>
      <c r="K103" s="1" t="s">
        <v>24</v>
      </c>
      <c r="L103" s="1">
        <v>9872</v>
      </c>
      <c r="M103" s="3">
        <f t="shared" si="3"/>
        <v>0.1431320907617504</v>
      </c>
      <c r="N103" s="1">
        <v>1413</v>
      </c>
      <c r="O103" s="4">
        <f t="shared" si="4"/>
        <v>8.2151162790697683</v>
      </c>
      <c r="P103" s="1">
        <v>172</v>
      </c>
      <c r="Q103" s="1">
        <v>1316.27038742221</v>
      </c>
      <c r="R103" s="1">
        <v>4699.4424883409301</v>
      </c>
      <c r="S103" s="5">
        <f t="shared" si="5"/>
        <v>4698.4424883409301</v>
      </c>
      <c r="T103" s="1">
        <v>177</v>
      </c>
      <c r="U103" s="1">
        <v>23</v>
      </c>
      <c r="V103" s="1">
        <v>13</v>
      </c>
      <c r="W103" s="1">
        <v>1534</v>
      </c>
      <c r="X103" s="1">
        <v>0.43987422670277998</v>
      </c>
    </row>
    <row r="104" spans="1:24" x14ac:dyDescent="0.3">
      <c r="A104" s="2">
        <v>45320</v>
      </c>
      <c r="B104" s="1" t="s">
        <v>17</v>
      </c>
      <c r="C104" s="1" t="s">
        <v>41</v>
      </c>
      <c r="D104" s="1" t="s">
        <v>19</v>
      </c>
      <c r="E104" s="1" t="s">
        <v>28</v>
      </c>
      <c r="F104" s="1">
        <v>29</v>
      </c>
      <c r="G104" s="1" t="str" cm="1">
        <f t="array" ref="G104">_xlfn.IFS(F104&lt;=25,"YOUTH",F104&lt;=48,"ADULT",TRUE,"SENIOR")</f>
        <v>ADULT</v>
      </c>
      <c r="H104" s="1" t="s">
        <v>29</v>
      </c>
      <c r="I104" s="1" t="s">
        <v>43</v>
      </c>
      <c r="J104" s="1" t="s">
        <v>23</v>
      </c>
      <c r="K104" s="1" t="s">
        <v>39</v>
      </c>
      <c r="L104" s="1">
        <v>20230</v>
      </c>
      <c r="M104" s="3">
        <f t="shared" si="3"/>
        <v>9.7083539298072175E-2</v>
      </c>
      <c r="N104" s="1">
        <v>1964</v>
      </c>
      <c r="O104" s="4">
        <f t="shared" si="4"/>
        <v>16.64406779661017</v>
      </c>
      <c r="P104" s="1">
        <v>118</v>
      </c>
      <c r="Q104" s="1">
        <v>814.55064643363596</v>
      </c>
      <c r="R104" s="1">
        <v>4117.0577905063101</v>
      </c>
      <c r="S104" s="5">
        <f t="shared" si="5"/>
        <v>4116.0577905063101</v>
      </c>
      <c r="T104" s="1">
        <v>467</v>
      </c>
      <c r="U104" s="1">
        <v>57</v>
      </c>
      <c r="V104" s="1">
        <v>32</v>
      </c>
      <c r="W104" s="1">
        <v>3599</v>
      </c>
      <c r="X104" s="1">
        <v>0.89241436073991998</v>
      </c>
    </row>
    <row r="105" spans="1:24" x14ac:dyDescent="0.3">
      <c r="A105" s="2">
        <v>45324</v>
      </c>
      <c r="B105" s="1" t="s">
        <v>40</v>
      </c>
      <c r="C105" s="1" t="s">
        <v>41</v>
      </c>
      <c r="D105" s="1" t="s">
        <v>36</v>
      </c>
      <c r="E105" s="1" t="s">
        <v>28</v>
      </c>
      <c r="F105" s="1">
        <v>51</v>
      </c>
      <c r="G105" s="1" t="str" cm="1">
        <f t="array" ref="G105">_xlfn.IFS(F105&lt;=25,"YOUTH",F105&lt;=48,"ADULT",TRUE,"SENIOR")</f>
        <v>SENIOR</v>
      </c>
      <c r="H105" s="1" t="s">
        <v>21</v>
      </c>
      <c r="I105" s="1" t="s">
        <v>33</v>
      </c>
      <c r="J105" s="1" t="s">
        <v>23</v>
      </c>
      <c r="K105" s="1" t="s">
        <v>39</v>
      </c>
      <c r="L105" s="1">
        <v>27708</v>
      </c>
      <c r="M105" s="3">
        <f t="shared" si="3"/>
        <v>0.10892161108705067</v>
      </c>
      <c r="N105" s="1">
        <v>3018</v>
      </c>
      <c r="O105" s="4">
        <f t="shared" si="4"/>
        <v>15.242424242424242</v>
      </c>
      <c r="P105" s="1">
        <v>198</v>
      </c>
      <c r="Q105" s="1">
        <v>1297.7839849724501</v>
      </c>
      <c r="R105" s="1">
        <v>3460.9363994702599</v>
      </c>
      <c r="S105" s="5">
        <f t="shared" si="5"/>
        <v>3459.9363994702599</v>
      </c>
      <c r="T105" s="1">
        <v>392</v>
      </c>
      <c r="U105" s="1">
        <v>37</v>
      </c>
      <c r="V105" s="1">
        <v>16</v>
      </c>
      <c r="W105" s="1">
        <v>3958</v>
      </c>
      <c r="X105" s="1">
        <v>0.644054449407232</v>
      </c>
    </row>
    <row r="106" spans="1:24" x14ac:dyDescent="0.3">
      <c r="A106" s="2">
        <v>45334</v>
      </c>
      <c r="B106" s="1" t="s">
        <v>34</v>
      </c>
      <c r="C106" s="1" t="s">
        <v>41</v>
      </c>
      <c r="D106" s="1" t="s">
        <v>19</v>
      </c>
      <c r="E106" s="1" t="s">
        <v>20</v>
      </c>
      <c r="F106" s="1">
        <v>50</v>
      </c>
      <c r="G106" s="1" t="str" cm="1">
        <f t="array" ref="G106">_xlfn.IFS(F106&lt;=25,"YOUTH",F106&lt;=48,"ADULT",TRUE,"SENIOR")</f>
        <v>SENIOR</v>
      </c>
      <c r="H106" s="1" t="s">
        <v>29</v>
      </c>
      <c r="I106" s="1" t="s">
        <v>33</v>
      </c>
      <c r="J106" s="1" t="s">
        <v>23</v>
      </c>
      <c r="K106" s="1" t="s">
        <v>39</v>
      </c>
      <c r="L106" s="1">
        <v>19847</v>
      </c>
      <c r="M106" s="3">
        <f t="shared" si="3"/>
        <v>5.169547034816345E-2</v>
      </c>
      <c r="N106" s="1">
        <v>1026</v>
      </c>
      <c r="O106" s="4">
        <f t="shared" si="4"/>
        <v>11.930232558139535</v>
      </c>
      <c r="P106" s="1">
        <v>86</v>
      </c>
      <c r="Q106" s="1">
        <v>2170.4363176555798</v>
      </c>
      <c r="R106" s="1">
        <v>1687.0517631938301</v>
      </c>
      <c r="S106" s="5">
        <f t="shared" si="5"/>
        <v>1686.0517631938301</v>
      </c>
      <c r="T106" s="1">
        <v>117</v>
      </c>
      <c r="U106" s="1">
        <v>14</v>
      </c>
      <c r="V106" s="1">
        <v>8</v>
      </c>
      <c r="W106" s="1">
        <v>1486</v>
      </c>
      <c r="X106" s="1">
        <v>0.76284452745195896</v>
      </c>
    </row>
    <row r="107" spans="1:24" x14ac:dyDescent="0.3">
      <c r="A107" s="2">
        <v>45344</v>
      </c>
      <c r="B107" s="1" t="s">
        <v>17</v>
      </c>
      <c r="C107" s="1" t="s">
        <v>26</v>
      </c>
      <c r="D107" s="1" t="s">
        <v>36</v>
      </c>
      <c r="E107" s="1" t="s">
        <v>28</v>
      </c>
      <c r="F107" s="1">
        <v>40</v>
      </c>
      <c r="G107" s="1" t="str" cm="1">
        <f t="array" ref="G107">_xlfn.IFS(F107&lt;=25,"YOUTH",F107&lt;=48,"ADULT",TRUE,"SENIOR")</f>
        <v>ADULT</v>
      </c>
      <c r="H107" s="1" t="s">
        <v>29</v>
      </c>
      <c r="I107" s="1" t="s">
        <v>22</v>
      </c>
      <c r="J107" s="1" t="s">
        <v>23</v>
      </c>
      <c r="K107" s="1" t="s">
        <v>31</v>
      </c>
      <c r="L107" s="1">
        <v>28105</v>
      </c>
      <c r="M107" s="3">
        <f t="shared" si="3"/>
        <v>6.7674790962462192E-2</v>
      </c>
      <c r="N107" s="1">
        <v>1902</v>
      </c>
      <c r="O107" s="4">
        <f t="shared" si="4"/>
        <v>4.0042105263157897</v>
      </c>
      <c r="P107" s="1">
        <v>475</v>
      </c>
      <c r="Q107" s="1">
        <v>1849.77757775857</v>
      </c>
      <c r="R107" s="1">
        <v>10758.944732638</v>
      </c>
      <c r="S107" s="5">
        <f t="shared" si="5"/>
        <v>10757.944732638</v>
      </c>
      <c r="T107" s="1">
        <v>775</v>
      </c>
      <c r="U107" s="1">
        <v>57</v>
      </c>
      <c r="V107" s="1">
        <v>56</v>
      </c>
      <c r="W107" s="1">
        <v>2594</v>
      </c>
      <c r="X107" s="1">
        <v>0.92782907051270702</v>
      </c>
    </row>
    <row r="108" spans="1:24" x14ac:dyDescent="0.3">
      <c r="A108" s="2">
        <v>45306</v>
      </c>
      <c r="B108" s="1" t="s">
        <v>40</v>
      </c>
      <c r="C108" s="1" t="s">
        <v>26</v>
      </c>
      <c r="D108" s="1" t="s">
        <v>27</v>
      </c>
      <c r="E108" s="1" t="s">
        <v>20</v>
      </c>
      <c r="F108" s="1">
        <v>41</v>
      </c>
      <c r="G108" s="1" t="str" cm="1">
        <f t="array" ref="G108">_xlfn.IFS(F108&lt;=25,"YOUTH",F108&lt;=48,"ADULT",TRUE,"SENIOR")</f>
        <v>ADULT</v>
      </c>
      <c r="H108" s="1" t="s">
        <v>21</v>
      </c>
      <c r="I108" s="1" t="s">
        <v>37</v>
      </c>
      <c r="J108" s="1" t="s">
        <v>23</v>
      </c>
      <c r="K108" s="1" t="s">
        <v>31</v>
      </c>
      <c r="L108" s="1">
        <v>5922</v>
      </c>
      <c r="M108" s="3">
        <f t="shared" si="3"/>
        <v>4.1202296521445456E-2</v>
      </c>
      <c r="N108" s="1">
        <v>244</v>
      </c>
      <c r="O108" s="4">
        <f t="shared" si="4"/>
        <v>12.842105263157896</v>
      </c>
      <c r="P108" s="1">
        <v>19</v>
      </c>
      <c r="Q108" s="1">
        <v>667.36314115800701</v>
      </c>
      <c r="R108" s="1">
        <v>649.83596653458596</v>
      </c>
      <c r="S108" s="5">
        <f t="shared" si="5"/>
        <v>648.83596653458596</v>
      </c>
      <c r="T108" s="1">
        <v>48</v>
      </c>
      <c r="U108" s="1">
        <v>5</v>
      </c>
      <c r="V108" s="1">
        <v>3</v>
      </c>
      <c r="W108" s="1">
        <v>220</v>
      </c>
      <c r="X108" s="1">
        <v>0.45500680919610598</v>
      </c>
    </row>
    <row r="109" spans="1:24" x14ac:dyDescent="0.3">
      <c r="A109" s="2">
        <v>45293</v>
      </c>
      <c r="B109" s="1" t="s">
        <v>17</v>
      </c>
      <c r="C109" s="1" t="s">
        <v>41</v>
      </c>
      <c r="D109" s="1" t="s">
        <v>19</v>
      </c>
      <c r="E109" s="1" t="s">
        <v>20</v>
      </c>
      <c r="F109" s="1">
        <v>54</v>
      </c>
      <c r="G109" s="1" t="str" cm="1">
        <f t="array" ref="G109">_xlfn.IFS(F109&lt;=25,"YOUTH",F109&lt;=48,"ADULT",TRUE,"SENIOR")</f>
        <v>SENIOR</v>
      </c>
      <c r="H109" s="1" t="s">
        <v>21</v>
      </c>
      <c r="I109" s="1" t="s">
        <v>37</v>
      </c>
      <c r="J109" s="1" t="s">
        <v>38</v>
      </c>
      <c r="K109" s="1" t="s">
        <v>31</v>
      </c>
      <c r="L109" s="1">
        <v>5392</v>
      </c>
      <c r="M109" s="3">
        <f t="shared" si="3"/>
        <v>0.14039317507418397</v>
      </c>
      <c r="N109" s="1">
        <v>757</v>
      </c>
      <c r="O109" s="4">
        <f t="shared" si="4"/>
        <v>10.513888888888889</v>
      </c>
      <c r="P109" s="1">
        <v>72</v>
      </c>
      <c r="Q109" s="1">
        <v>218.38393035805299</v>
      </c>
      <c r="R109" s="1">
        <v>3415.1665566906499</v>
      </c>
      <c r="S109" s="5">
        <f t="shared" si="5"/>
        <v>3414.1665566906499</v>
      </c>
      <c r="T109" s="1">
        <v>154</v>
      </c>
      <c r="U109" s="1">
        <v>9</v>
      </c>
      <c r="V109" s="1">
        <v>4</v>
      </c>
      <c r="W109" s="1">
        <v>226</v>
      </c>
      <c r="X109" s="1">
        <v>0.665252052717618</v>
      </c>
    </row>
    <row r="110" spans="1:24" x14ac:dyDescent="0.3">
      <c r="A110" s="2">
        <v>45343</v>
      </c>
      <c r="B110" s="1" t="s">
        <v>17</v>
      </c>
      <c r="C110" s="1" t="s">
        <v>35</v>
      </c>
      <c r="D110" s="1" t="s">
        <v>19</v>
      </c>
      <c r="E110" s="1" t="s">
        <v>28</v>
      </c>
      <c r="F110" s="1">
        <v>52</v>
      </c>
      <c r="G110" s="1" t="str" cm="1">
        <f t="array" ref="G110">_xlfn.IFS(F110&lt;=25,"YOUTH",F110&lt;=48,"ADULT",TRUE,"SENIOR")</f>
        <v>SENIOR</v>
      </c>
      <c r="H110" s="1" t="s">
        <v>29</v>
      </c>
      <c r="I110" s="1" t="s">
        <v>43</v>
      </c>
      <c r="J110" s="1" t="s">
        <v>23</v>
      </c>
      <c r="K110" s="1" t="s">
        <v>31</v>
      </c>
      <c r="L110" s="1">
        <v>14541</v>
      </c>
      <c r="M110" s="3">
        <f t="shared" si="3"/>
        <v>7.8330238635582153E-2</v>
      </c>
      <c r="N110" s="1">
        <v>1139</v>
      </c>
      <c r="O110" s="4">
        <f t="shared" si="4"/>
        <v>5.8410256410256407</v>
      </c>
      <c r="P110" s="1">
        <v>195</v>
      </c>
      <c r="Q110" s="1">
        <v>767.69182814516705</v>
      </c>
      <c r="R110" s="1">
        <v>11826.6524548786</v>
      </c>
      <c r="S110" s="5">
        <f t="shared" si="5"/>
        <v>11825.6524548786</v>
      </c>
      <c r="T110" s="1">
        <v>280</v>
      </c>
      <c r="U110" s="1">
        <v>38</v>
      </c>
      <c r="V110" s="1">
        <v>27</v>
      </c>
      <c r="W110" s="1">
        <v>599</v>
      </c>
      <c r="X110" s="1">
        <v>0.42728700516406198</v>
      </c>
    </row>
    <row r="111" spans="1:24" x14ac:dyDescent="0.3">
      <c r="A111" s="2">
        <v>45330</v>
      </c>
      <c r="B111" s="1" t="s">
        <v>25</v>
      </c>
      <c r="C111" s="1" t="s">
        <v>41</v>
      </c>
      <c r="D111" s="1" t="s">
        <v>32</v>
      </c>
      <c r="E111" s="1" t="s">
        <v>20</v>
      </c>
      <c r="F111" s="1">
        <v>57</v>
      </c>
      <c r="G111" s="1" t="str" cm="1">
        <f t="array" ref="G111">_xlfn.IFS(F111&lt;=25,"YOUTH",F111&lt;=48,"ADULT",TRUE,"SENIOR")</f>
        <v>SENIOR</v>
      </c>
      <c r="H111" s="1" t="s">
        <v>21</v>
      </c>
      <c r="I111" s="1" t="s">
        <v>37</v>
      </c>
      <c r="J111" s="1" t="s">
        <v>38</v>
      </c>
      <c r="K111" s="1" t="s">
        <v>31</v>
      </c>
      <c r="L111" s="1">
        <v>20551</v>
      </c>
      <c r="M111" s="3">
        <f t="shared" si="3"/>
        <v>9.8243394482020338E-2</v>
      </c>
      <c r="N111" s="1">
        <v>2019</v>
      </c>
      <c r="O111" s="4">
        <f t="shared" si="4"/>
        <v>11.471590909090908</v>
      </c>
      <c r="P111" s="1">
        <v>176</v>
      </c>
      <c r="Q111" s="1">
        <v>829.52383545763405</v>
      </c>
      <c r="R111" s="1">
        <v>4164.7882174209099</v>
      </c>
      <c r="S111" s="5">
        <f t="shared" si="5"/>
        <v>4163.7882174209099</v>
      </c>
      <c r="T111" s="1">
        <v>259</v>
      </c>
      <c r="U111" s="1">
        <v>16</v>
      </c>
      <c r="V111" s="1">
        <v>13</v>
      </c>
      <c r="W111" s="1">
        <v>715</v>
      </c>
      <c r="X111" s="1">
        <v>0.67474998282804299</v>
      </c>
    </row>
    <row r="112" spans="1:24" x14ac:dyDescent="0.3">
      <c r="A112" s="2">
        <v>45344</v>
      </c>
      <c r="B112" s="1" t="s">
        <v>25</v>
      </c>
      <c r="C112" s="1" t="s">
        <v>18</v>
      </c>
      <c r="D112" s="1" t="s">
        <v>36</v>
      </c>
      <c r="E112" s="1" t="s">
        <v>28</v>
      </c>
      <c r="F112" s="1">
        <v>39</v>
      </c>
      <c r="G112" s="1" t="str" cm="1">
        <f t="array" ref="G112">_xlfn.IFS(F112&lt;=25,"YOUTH",F112&lt;=48,"ADULT",TRUE,"SENIOR")</f>
        <v>ADULT</v>
      </c>
      <c r="H112" s="1" t="s">
        <v>21</v>
      </c>
      <c r="I112" s="1" t="s">
        <v>33</v>
      </c>
      <c r="J112" s="1" t="s">
        <v>23</v>
      </c>
      <c r="K112" s="1" t="s">
        <v>24</v>
      </c>
      <c r="L112" s="1">
        <v>20381</v>
      </c>
      <c r="M112" s="3">
        <f t="shared" si="3"/>
        <v>0.11275207300917521</v>
      </c>
      <c r="N112" s="1">
        <v>2298</v>
      </c>
      <c r="O112" s="4">
        <f t="shared" si="4"/>
        <v>14.362500000000001</v>
      </c>
      <c r="P112" s="1">
        <v>160</v>
      </c>
      <c r="Q112" s="1">
        <v>2932.3844630959202</v>
      </c>
      <c r="R112" s="1">
        <v>2710.77473955094</v>
      </c>
      <c r="S112" s="5">
        <f t="shared" si="5"/>
        <v>2709.77473955094</v>
      </c>
      <c r="T112" s="1">
        <v>354</v>
      </c>
      <c r="U112" s="1">
        <v>26</v>
      </c>
      <c r="V112" s="1">
        <v>25</v>
      </c>
      <c r="W112" s="1">
        <v>899</v>
      </c>
      <c r="X112" s="1">
        <v>0.53874267576816404</v>
      </c>
    </row>
    <row r="113" spans="1:24" x14ac:dyDescent="0.3">
      <c r="A113" s="2">
        <v>45335</v>
      </c>
      <c r="B113" s="1" t="s">
        <v>25</v>
      </c>
      <c r="C113" s="1" t="s">
        <v>26</v>
      </c>
      <c r="D113" s="1" t="s">
        <v>27</v>
      </c>
      <c r="E113" s="1" t="s">
        <v>28</v>
      </c>
      <c r="F113" s="1">
        <v>44</v>
      </c>
      <c r="G113" s="1" t="str" cm="1">
        <f t="array" ref="G113">_xlfn.IFS(F113&lt;=25,"YOUTH",F113&lt;=48,"ADULT",TRUE,"SENIOR")</f>
        <v>ADULT</v>
      </c>
      <c r="H113" s="1" t="s">
        <v>21</v>
      </c>
      <c r="I113" s="1" t="s">
        <v>33</v>
      </c>
      <c r="J113" s="1" t="s">
        <v>23</v>
      </c>
      <c r="K113" s="1" t="s">
        <v>24</v>
      </c>
      <c r="L113" s="1">
        <v>48783</v>
      </c>
      <c r="M113" s="3">
        <f t="shared" si="3"/>
        <v>6.1947809687801079E-2</v>
      </c>
      <c r="N113" s="1">
        <v>3022</v>
      </c>
      <c r="O113" s="4">
        <f t="shared" si="4"/>
        <v>17.776470588235295</v>
      </c>
      <c r="P113" s="1">
        <v>170</v>
      </c>
      <c r="Q113" s="1">
        <v>3546.6467848847801</v>
      </c>
      <c r="R113" s="1">
        <v>5036.2644865986304</v>
      </c>
      <c r="S113" s="5">
        <f t="shared" si="5"/>
        <v>5035.2644865986304</v>
      </c>
      <c r="T113" s="1">
        <v>855</v>
      </c>
      <c r="U113" s="1">
        <v>53</v>
      </c>
      <c r="V113" s="1">
        <v>77</v>
      </c>
      <c r="W113" s="1">
        <v>2366</v>
      </c>
      <c r="X113" s="1">
        <v>0.90108604110062795</v>
      </c>
    </row>
    <row r="114" spans="1:24" x14ac:dyDescent="0.3">
      <c r="A114" s="2">
        <v>45345</v>
      </c>
      <c r="B114" s="1" t="s">
        <v>40</v>
      </c>
      <c r="C114" s="1" t="s">
        <v>18</v>
      </c>
      <c r="D114" s="1" t="s">
        <v>32</v>
      </c>
      <c r="E114" s="1" t="s">
        <v>28</v>
      </c>
      <c r="F114" s="1">
        <v>52</v>
      </c>
      <c r="G114" s="1" t="str" cm="1">
        <f t="array" ref="G114">_xlfn.IFS(F114&lt;=25,"YOUTH",F114&lt;=48,"ADULT",TRUE,"SENIOR")</f>
        <v>SENIOR</v>
      </c>
      <c r="H114" s="1" t="s">
        <v>21</v>
      </c>
      <c r="I114" s="1" t="s">
        <v>22</v>
      </c>
      <c r="J114" s="1" t="s">
        <v>23</v>
      </c>
      <c r="K114" s="1" t="s">
        <v>39</v>
      </c>
      <c r="L114" s="1">
        <v>36995</v>
      </c>
      <c r="M114" s="3">
        <f t="shared" si="3"/>
        <v>0.1107987565887282</v>
      </c>
      <c r="N114" s="1">
        <v>4099</v>
      </c>
      <c r="O114" s="4">
        <f t="shared" si="4"/>
        <v>10.901595744680851</v>
      </c>
      <c r="P114" s="1">
        <v>376</v>
      </c>
      <c r="Q114" s="1">
        <v>2361.7085737267398</v>
      </c>
      <c r="R114" s="1">
        <v>23738.722386528101</v>
      </c>
      <c r="S114" s="5">
        <f t="shared" si="5"/>
        <v>23737.722386528101</v>
      </c>
      <c r="T114" s="1">
        <v>206</v>
      </c>
      <c r="U114" s="1">
        <v>22</v>
      </c>
      <c r="V114" s="1">
        <v>11</v>
      </c>
      <c r="W114" s="1">
        <v>1156</v>
      </c>
      <c r="X114" s="1">
        <v>0.61917087185019704</v>
      </c>
    </row>
    <row r="115" spans="1:24" x14ac:dyDescent="0.3">
      <c r="A115" s="2">
        <v>45309</v>
      </c>
      <c r="B115" s="1" t="s">
        <v>34</v>
      </c>
      <c r="C115" s="1" t="s">
        <v>18</v>
      </c>
      <c r="D115" s="1" t="s">
        <v>32</v>
      </c>
      <c r="E115" s="1" t="s">
        <v>20</v>
      </c>
      <c r="F115" s="1">
        <v>18</v>
      </c>
      <c r="G115" s="1" t="str" cm="1">
        <f t="array" ref="G115">_xlfn.IFS(F115&lt;=25,"YOUTH",F115&lt;=48,"ADULT",TRUE,"SENIOR")</f>
        <v>YOUTH</v>
      </c>
      <c r="H115" s="1" t="s">
        <v>21</v>
      </c>
      <c r="I115" s="1" t="s">
        <v>22</v>
      </c>
      <c r="J115" s="1" t="s">
        <v>23</v>
      </c>
      <c r="K115" s="1" t="s">
        <v>24</v>
      </c>
      <c r="L115" s="1">
        <v>23948</v>
      </c>
      <c r="M115" s="3">
        <f t="shared" si="3"/>
        <v>0.10460163687990646</v>
      </c>
      <c r="N115" s="1">
        <v>2505</v>
      </c>
      <c r="O115" s="4">
        <f t="shared" si="4"/>
        <v>22.567567567567568</v>
      </c>
      <c r="P115" s="1">
        <v>111</v>
      </c>
      <c r="Q115" s="1">
        <v>523.17472067707104</v>
      </c>
      <c r="R115" s="1">
        <v>626.14515495246098</v>
      </c>
      <c r="S115" s="5">
        <f t="shared" si="5"/>
        <v>625.14515495246098</v>
      </c>
      <c r="T115" s="1">
        <v>332</v>
      </c>
      <c r="U115" s="1">
        <v>58</v>
      </c>
      <c r="V115" s="1">
        <v>27</v>
      </c>
      <c r="W115" s="1">
        <v>3152</v>
      </c>
      <c r="X115" s="1">
        <v>0.74862984532864296</v>
      </c>
    </row>
    <row r="116" spans="1:24" x14ac:dyDescent="0.3">
      <c r="A116" s="2">
        <v>45294</v>
      </c>
      <c r="B116" s="1" t="s">
        <v>34</v>
      </c>
      <c r="C116" s="1" t="s">
        <v>26</v>
      </c>
      <c r="D116" s="1" t="s">
        <v>36</v>
      </c>
      <c r="E116" s="1" t="s">
        <v>20</v>
      </c>
      <c r="F116" s="1">
        <v>52</v>
      </c>
      <c r="G116" s="1" t="str" cm="1">
        <f t="array" ref="G116">_xlfn.IFS(F116&lt;=25,"YOUTH",F116&lt;=48,"ADULT",TRUE,"SENIOR")</f>
        <v>SENIOR</v>
      </c>
      <c r="H116" s="1" t="s">
        <v>42</v>
      </c>
      <c r="I116" s="1" t="s">
        <v>37</v>
      </c>
      <c r="J116" s="1" t="s">
        <v>23</v>
      </c>
      <c r="K116" s="1" t="s">
        <v>39</v>
      </c>
      <c r="L116" s="1">
        <v>27728</v>
      </c>
      <c r="M116" s="3">
        <f t="shared" si="3"/>
        <v>0.10877091748413156</v>
      </c>
      <c r="N116" s="1">
        <v>3016</v>
      </c>
      <c r="O116" s="4">
        <f t="shared" si="4"/>
        <v>41.315068493150683</v>
      </c>
      <c r="P116" s="1">
        <v>73</v>
      </c>
      <c r="Q116" s="1">
        <v>1107.5751434476599</v>
      </c>
      <c r="R116" s="1">
        <v>3581.4865831940001</v>
      </c>
      <c r="S116" s="5">
        <f t="shared" si="5"/>
        <v>3580.4865831940001</v>
      </c>
      <c r="T116" s="1">
        <v>651</v>
      </c>
      <c r="U116" s="1">
        <v>121</v>
      </c>
      <c r="V116" s="1">
        <v>63</v>
      </c>
      <c r="W116" s="1">
        <v>5495</v>
      </c>
      <c r="X116" s="1">
        <v>0.87315799564800101</v>
      </c>
    </row>
    <row r="117" spans="1:24" x14ac:dyDescent="0.3">
      <c r="A117" s="2">
        <v>45298</v>
      </c>
      <c r="B117" s="1" t="s">
        <v>40</v>
      </c>
      <c r="C117" s="1" t="s">
        <v>35</v>
      </c>
      <c r="D117" s="1" t="s">
        <v>32</v>
      </c>
      <c r="E117" s="1" t="s">
        <v>20</v>
      </c>
      <c r="F117" s="1">
        <v>54</v>
      </c>
      <c r="G117" s="1" t="str" cm="1">
        <f t="array" ref="G117">_xlfn.IFS(F117&lt;=25,"YOUTH",F117&lt;=48,"ADULT",TRUE,"SENIOR")</f>
        <v>SENIOR</v>
      </c>
      <c r="H117" s="1" t="s">
        <v>21</v>
      </c>
      <c r="I117" s="1" t="s">
        <v>43</v>
      </c>
      <c r="J117" s="1" t="s">
        <v>23</v>
      </c>
      <c r="K117" s="1" t="s">
        <v>31</v>
      </c>
      <c r="L117" s="1">
        <v>3024</v>
      </c>
      <c r="M117" s="3">
        <f t="shared" si="3"/>
        <v>7.8373015873015872E-2</v>
      </c>
      <c r="N117" s="1">
        <v>237</v>
      </c>
      <c r="O117" s="4">
        <f t="shared" si="4"/>
        <v>4.9375</v>
      </c>
      <c r="P117" s="1">
        <v>48</v>
      </c>
      <c r="Q117" s="1">
        <v>226.03692780605101</v>
      </c>
      <c r="R117" s="1">
        <v>1728.73934480413</v>
      </c>
      <c r="S117" s="5">
        <f t="shared" si="5"/>
        <v>1727.73934480413</v>
      </c>
      <c r="T117" s="1">
        <v>53</v>
      </c>
      <c r="U117" s="1">
        <v>3</v>
      </c>
      <c r="V117" s="1">
        <v>2</v>
      </c>
      <c r="W117" s="1">
        <v>535</v>
      </c>
      <c r="X117" s="1">
        <v>0.94103052200000004</v>
      </c>
    </row>
    <row r="118" spans="1:24" x14ac:dyDescent="0.3">
      <c r="A118" s="2">
        <v>45334</v>
      </c>
      <c r="B118" s="1" t="s">
        <v>17</v>
      </c>
      <c r="C118" s="1" t="s">
        <v>41</v>
      </c>
      <c r="D118" s="1" t="s">
        <v>36</v>
      </c>
      <c r="E118" s="1" t="s">
        <v>28</v>
      </c>
      <c r="F118" s="1">
        <v>31</v>
      </c>
      <c r="G118" s="1" t="str" cm="1">
        <f t="array" ref="G118">_xlfn.IFS(F118&lt;=25,"YOUTH",F118&lt;=48,"ADULT",TRUE,"SENIOR")</f>
        <v>ADULT</v>
      </c>
      <c r="H118" s="1" t="s">
        <v>21</v>
      </c>
      <c r="I118" s="1" t="s">
        <v>37</v>
      </c>
      <c r="J118" s="1" t="s">
        <v>23</v>
      </c>
      <c r="K118" s="1" t="s">
        <v>31</v>
      </c>
      <c r="L118" s="1">
        <v>17713</v>
      </c>
      <c r="M118" s="3">
        <f t="shared" si="3"/>
        <v>6.3569130017501266E-2</v>
      </c>
      <c r="N118" s="1">
        <v>1126</v>
      </c>
      <c r="O118" s="4">
        <f t="shared" si="4"/>
        <v>19.413793103448278</v>
      </c>
      <c r="P118" s="1">
        <v>58</v>
      </c>
      <c r="Q118" s="1">
        <v>512.00069542737401</v>
      </c>
      <c r="R118" s="1">
        <v>897.14423040176302</v>
      </c>
      <c r="S118" s="5">
        <f t="shared" si="5"/>
        <v>896.14423040176302</v>
      </c>
      <c r="T118" s="1">
        <v>196</v>
      </c>
      <c r="U118" s="1">
        <v>28</v>
      </c>
      <c r="V118" s="1">
        <v>10</v>
      </c>
      <c r="W118" s="1">
        <v>330</v>
      </c>
      <c r="X118" s="1">
        <v>0.67710065368070005</v>
      </c>
    </row>
    <row r="119" spans="1:24" x14ac:dyDescent="0.3">
      <c r="A119" s="2">
        <v>45309</v>
      </c>
      <c r="B119" s="1" t="s">
        <v>40</v>
      </c>
      <c r="C119" s="1" t="s">
        <v>18</v>
      </c>
      <c r="D119" s="1" t="s">
        <v>32</v>
      </c>
      <c r="E119" s="1" t="s">
        <v>28</v>
      </c>
      <c r="F119" s="1">
        <v>20</v>
      </c>
      <c r="G119" s="1" t="str" cm="1">
        <f t="array" ref="G119">_xlfn.IFS(F119&lt;=25,"YOUTH",F119&lt;=48,"ADULT",TRUE,"SENIOR")</f>
        <v>YOUTH</v>
      </c>
      <c r="H119" s="1" t="s">
        <v>42</v>
      </c>
      <c r="I119" s="1" t="s">
        <v>37</v>
      </c>
      <c r="J119" s="1" t="s">
        <v>23</v>
      </c>
      <c r="K119" s="1" t="s">
        <v>39</v>
      </c>
      <c r="L119" s="1">
        <v>3486</v>
      </c>
      <c r="M119" s="3">
        <f t="shared" si="3"/>
        <v>4.1021227768215721E-2</v>
      </c>
      <c r="N119" s="1">
        <v>143</v>
      </c>
      <c r="O119" s="4">
        <f t="shared" si="4"/>
        <v>5.1071428571428568</v>
      </c>
      <c r="P119" s="1">
        <v>28</v>
      </c>
      <c r="Q119" s="1">
        <v>301.17684934562698</v>
      </c>
      <c r="R119" s="1">
        <v>724.25917781952899</v>
      </c>
      <c r="S119" s="5">
        <f t="shared" si="5"/>
        <v>723.25917781952899</v>
      </c>
      <c r="T119" s="1">
        <v>46</v>
      </c>
      <c r="U119" s="1">
        <v>7</v>
      </c>
      <c r="V119" s="1">
        <v>4</v>
      </c>
      <c r="W119" s="1">
        <v>315</v>
      </c>
      <c r="X119" s="1">
        <v>0.65066673657380003</v>
      </c>
    </row>
    <row r="120" spans="1:24" x14ac:dyDescent="0.3">
      <c r="A120" s="2">
        <v>45335</v>
      </c>
      <c r="B120" s="1" t="s">
        <v>17</v>
      </c>
      <c r="C120" s="1" t="s">
        <v>26</v>
      </c>
      <c r="D120" s="1" t="s">
        <v>36</v>
      </c>
      <c r="E120" s="1" t="s">
        <v>28</v>
      </c>
      <c r="F120" s="1">
        <v>18</v>
      </c>
      <c r="G120" s="1" t="str" cm="1">
        <f t="array" ref="G120">_xlfn.IFS(F120&lt;=25,"YOUTH",F120&lt;=48,"ADULT",TRUE,"SENIOR")</f>
        <v>YOUTH</v>
      </c>
      <c r="H120" s="1" t="s">
        <v>42</v>
      </c>
      <c r="I120" s="1" t="s">
        <v>37</v>
      </c>
      <c r="J120" s="1" t="s">
        <v>23</v>
      </c>
      <c r="K120" s="1" t="s">
        <v>39</v>
      </c>
      <c r="L120" s="1">
        <v>2155</v>
      </c>
      <c r="M120" s="3">
        <f t="shared" si="3"/>
        <v>0.12529002320185614</v>
      </c>
      <c r="N120" s="1">
        <v>270</v>
      </c>
      <c r="O120" s="4">
        <f t="shared" si="4"/>
        <v>5</v>
      </c>
      <c r="P120" s="1">
        <v>54</v>
      </c>
      <c r="Q120" s="1">
        <v>170.572575085815</v>
      </c>
      <c r="R120" s="1">
        <v>1059.5746540083801</v>
      </c>
      <c r="S120" s="5">
        <f t="shared" si="5"/>
        <v>1058.5746540083801</v>
      </c>
      <c r="T120" s="1">
        <v>57</v>
      </c>
      <c r="U120" s="1">
        <v>7</v>
      </c>
      <c r="V120" s="1">
        <v>1</v>
      </c>
      <c r="W120" s="1">
        <v>373</v>
      </c>
      <c r="X120" s="1">
        <v>0.44165680491305198</v>
      </c>
    </row>
    <row r="121" spans="1:24" x14ac:dyDescent="0.3">
      <c r="A121" s="2">
        <v>45329</v>
      </c>
      <c r="B121" s="1" t="s">
        <v>40</v>
      </c>
      <c r="C121" s="1" t="s">
        <v>18</v>
      </c>
      <c r="D121" s="1" t="s">
        <v>27</v>
      </c>
      <c r="E121" s="1" t="s">
        <v>20</v>
      </c>
      <c r="F121" s="1">
        <v>22</v>
      </c>
      <c r="G121" s="1" t="str" cm="1">
        <f t="array" ref="G121">_xlfn.IFS(F121&lt;=25,"YOUTH",F121&lt;=48,"ADULT",TRUE,"SENIOR")</f>
        <v>YOUTH</v>
      </c>
      <c r="H121" s="1" t="s">
        <v>29</v>
      </c>
      <c r="I121" s="1" t="s">
        <v>37</v>
      </c>
      <c r="J121" s="1" t="s">
        <v>38</v>
      </c>
      <c r="K121" s="1" t="s">
        <v>31</v>
      </c>
      <c r="L121" s="1">
        <v>11082</v>
      </c>
      <c r="M121" s="3">
        <f t="shared" si="3"/>
        <v>9.510918606749684E-2</v>
      </c>
      <c r="N121" s="1">
        <v>1054</v>
      </c>
      <c r="O121" s="4">
        <f t="shared" si="4"/>
        <v>6.9801324503311255</v>
      </c>
      <c r="P121" s="1">
        <v>151</v>
      </c>
      <c r="Q121" s="1">
        <v>1326.86845306849</v>
      </c>
      <c r="R121" s="1">
        <v>9370.9227279999996</v>
      </c>
      <c r="S121" s="5">
        <f t="shared" si="5"/>
        <v>9369.9227279999996</v>
      </c>
      <c r="T121" s="1">
        <v>201</v>
      </c>
      <c r="U121" s="1">
        <v>30</v>
      </c>
      <c r="V121" s="1">
        <v>4</v>
      </c>
      <c r="W121" s="1">
        <v>394</v>
      </c>
      <c r="X121" s="1">
        <v>0.40700641883546801</v>
      </c>
    </row>
    <row r="122" spans="1:24" x14ac:dyDescent="0.3">
      <c r="A122" s="2">
        <v>45328</v>
      </c>
      <c r="B122" s="1" t="s">
        <v>40</v>
      </c>
      <c r="C122" s="1" t="s">
        <v>41</v>
      </c>
      <c r="D122" s="1" t="s">
        <v>36</v>
      </c>
      <c r="E122" s="1" t="s">
        <v>28</v>
      </c>
      <c r="F122" s="1">
        <v>43</v>
      </c>
      <c r="G122" s="1" t="str" cm="1">
        <f t="array" ref="G122">_xlfn.IFS(F122&lt;=25,"YOUTH",F122&lt;=48,"ADULT",TRUE,"SENIOR")</f>
        <v>ADULT</v>
      </c>
      <c r="H122" s="1" t="s">
        <v>29</v>
      </c>
      <c r="I122" s="1" t="s">
        <v>33</v>
      </c>
      <c r="J122" s="1" t="s">
        <v>38</v>
      </c>
      <c r="K122" s="1" t="s">
        <v>39</v>
      </c>
      <c r="L122" s="1">
        <v>38245</v>
      </c>
      <c r="M122" s="3">
        <f t="shared" si="3"/>
        <v>7.2192443456660996E-2</v>
      </c>
      <c r="N122" s="1">
        <v>2761</v>
      </c>
      <c r="O122" s="4">
        <f t="shared" si="4"/>
        <v>11</v>
      </c>
      <c r="P122" s="1">
        <v>251</v>
      </c>
      <c r="Q122" s="1">
        <v>4045.3400609571599</v>
      </c>
      <c r="R122" s="1">
        <v>9116.7642590625092</v>
      </c>
      <c r="S122" s="5">
        <f t="shared" si="5"/>
        <v>9115.7642590625092</v>
      </c>
      <c r="T122" s="1">
        <v>696</v>
      </c>
      <c r="U122" s="1">
        <v>59</v>
      </c>
      <c r="V122" s="1">
        <v>64</v>
      </c>
      <c r="W122" s="1">
        <v>6541</v>
      </c>
      <c r="X122" s="1">
        <v>0.73484115087417201</v>
      </c>
    </row>
    <row r="123" spans="1:24" x14ac:dyDescent="0.3">
      <c r="A123" s="2">
        <v>45349</v>
      </c>
      <c r="B123" s="1" t="s">
        <v>40</v>
      </c>
      <c r="C123" s="1" t="s">
        <v>35</v>
      </c>
      <c r="D123" s="1" t="s">
        <v>36</v>
      </c>
      <c r="E123" s="1" t="s">
        <v>28</v>
      </c>
      <c r="F123" s="1">
        <v>31</v>
      </c>
      <c r="G123" s="1" t="str" cm="1">
        <f t="array" ref="G123">_xlfn.IFS(F123&lt;=25,"YOUTH",F123&lt;=48,"ADULT",TRUE,"SENIOR")</f>
        <v>ADULT</v>
      </c>
      <c r="H123" s="1" t="s">
        <v>29</v>
      </c>
      <c r="I123" s="1" t="s">
        <v>43</v>
      </c>
      <c r="J123" s="1" t="s">
        <v>23</v>
      </c>
      <c r="K123" s="1" t="s">
        <v>31</v>
      </c>
      <c r="L123" s="1">
        <v>19569</v>
      </c>
      <c r="M123" s="3">
        <f t="shared" si="3"/>
        <v>0.14211252491185036</v>
      </c>
      <c r="N123" s="1">
        <v>2781</v>
      </c>
      <c r="O123" s="4">
        <f t="shared" si="4"/>
        <v>18.79054054054054</v>
      </c>
      <c r="P123" s="1">
        <v>148</v>
      </c>
      <c r="Q123" s="1">
        <v>1525.8565663163799</v>
      </c>
      <c r="R123" s="1">
        <v>6156.9669531333802</v>
      </c>
      <c r="S123" s="5">
        <f t="shared" si="5"/>
        <v>6155.9669531333802</v>
      </c>
      <c r="T123" s="1">
        <v>568</v>
      </c>
      <c r="U123" s="1">
        <v>70</v>
      </c>
      <c r="V123" s="1">
        <v>48</v>
      </c>
      <c r="W123" s="1">
        <v>2399</v>
      </c>
      <c r="X123" s="1">
        <v>0.436005393681205</v>
      </c>
    </row>
    <row r="124" spans="1:24" x14ac:dyDescent="0.3">
      <c r="A124" s="2">
        <v>45324</v>
      </c>
      <c r="B124" s="1" t="s">
        <v>34</v>
      </c>
      <c r="C124" s="1" t="s">
        <v>35</v>
      </c>
      <c r="D124" s="1" t="s">
        <v>19</v>
      </c>
      <c r="E124" s="1" t="s">
        <v>20</v>
      </c>
      <c r="F124" s="1">
        <v>56</v>
      </c>
      <c r="G124" s="1" t="str" cm="1">
        <f t="array" ref="G124">_xlfn.IFS(F124&lt;=25,"YOUTH",F124&lt;=48,"ADULT",TRUE,"SENIOR")</f>
        <v>SENIOR</v>
      </c>
      <c r="H124" s="1" t="s">
        <v>29</v>
      </c>
      <c r="I124" s="1" t="s">
        <v>33</v>
      </c>
      <c r="J124" s="1" t="s">
        <v>23</v>
      </c>
      <c r="K124" s="1" t="s">
        <v>39</v>
      </c>
      <c r="L124" s="1">
        <v>8086</v>
      </c>
      <c r="M124" s="3">
        <f t="shared" si="3"/>
        <v>1.6695523126391294E-2</v>
      </c>
      <c r="N124" s="1">
        <v>135</v>
      </c>
      <c r="O124" s="4">
        <f t="shared" si="4"/>
        <v>5.4</v>
      </c>
      <c r="P124" s="1">
        <v>25</v>
      </c>
      <c r="Q124" s="1">
        <v>397.87883473644899</v>
      </c>
      <c r="R124" s="1">
        <v>1089.7423814226499</v>
      </c>
      <c r="S124" s="5">
        <f t="shared" si="5"/>
        <v>1088.7423814226499</v>
      </c>
      <c r="T124" s="1">
        <v>105</v>
      </c>
      <c r="U124" s="1">
        <v>11</v>
      </c>
      <c r="V124" s="1">
        <v>10</v>
      </c>
      <c r="W124" s="1">
        <v>1511</v>
      </c>
      <c r="X124" s="1">
        <v>0.60920841537115999</v>
      </c>
    </row>
    <row r="125" spans="1:24" x14ac:dyDescent="0.3">
      <c r="A125" s="2">
        <v>45335</v>
      </c>
      <c r="B125" s="1" t="s">
        <v>25</v>
      </c>
      <c r="C125" s="1" t="s">
        <v>35</v>
      </c>
      <c r="D125" s="1" t="s">
        <v>27</v>
      </c>
      <c r="E125" s="1" t="s">
        <v>20</v>
      </c>
      <c r="F125" s="1">
        <v>44</v>
      </c>
      <c r="G125" s="1" t="str" cm="1">
        <f t="array" ref="G125">_xlfn.IFS(F125&lt;=25,"YOUTH",F125&lt;=48,"ADULT",TRUE,"SENIOR")</f>
        <v>ADULT</v>
      </c>
      <c r="H125" s="1" t="s">
        <v>21</v>
      </c>
      <c r="I125" s="1" t="s">
        <v>43</v>
      </c>
      <c r="J125" s="1" t="s">
        <v>23</v>
      </c>
      <c r="K125" s="1" t="s">
        <v>24</v>
      </c>
      <c r="L125" s="1">
        <v>3317</v>
      </c>
      <c r="M125" s="3">
        <f t="shared" si="3"/>
        <v>0.12873078082604764</v>
      </c>
      <c r="N125" s="1">
        <v>427</v>
      </c>
      <c r="O125" s="4">
        <f t="shared" si="4"/>
        <v>6.3731343283582094</v>
      </c>
      <c r="P125" s="1">
        <v>67</v>
      </c>
      <c r="Q125" s="1">
        <v>379.77083830253798</v>
      </c>
      <c r="R125" s="1">
        <v>3120.5325776432601</v>
      </c>
      <c r="S125" s="5">
        <f t="shared" si="5"/>
        <v>3119.5325776432601</v>
      </c>
      <c r="T125" s="1">
        <v>56</v>
      </c>
      <c r="U125" s="1">
        <v>3</v>
      </c>
      <c r="V125" s="1">
        <v>1</v>
      </c>
      <c r="W125" s="1">
        <v>585</v>
      </c>
      <c r="X125" s="1">
        <v>0.40198353985855301</v>
      </c>
    </row>
    <row r="126" spans="1:24" x14ac:dyDescent="0.3">
      <c r="A126" s="2">
        <v>45350</v>
      </c>
      <c r="B126" s="1" t="s">
        <v>40</v>
      </c>
      <c r="C126" s="1" t="s">
        <v>26</v>
      </c>
      <c r="D126" s="1" t="s">
        <v>27</v>
      </c>
      <c r="E126" s="1" t="s">
        <v>20</v>
      </c>
      <c r="F126" s="1">
        <v>26</v>
      </c>
      <c r="G126" s="1" t="str" cm="1">
        <f t="array" ref="G126">_xlfn.IFS(F126&lt;=25,"YOUTH",F126&lt;=48,"ADULT",TRUE,"SENIOR")</f>
        <v>ADULT</v>
      </c>
      <c r="H126" s="1" t="s">
        <v>21</v>
      </c>
      <c r="I126" s="1" t="s">
        <v>22</v>
      </c>
      <c r="J126" s="1" t="s">
        <v>23</v>
      </c>
      <c r="K126" s="1" t="s">
        <v>39</v>
      </c>
      <c r="L126" s="1">
        <v>37389</v>
      </c>
      <c r="M126" s="3">
        <f t="shared" si="3"/>
        <v>0.14964294311161036</v>
      </c>
      <c r="N126" s="1">
        <v>5595</v>
      </c>
      <c r="O126" s="4">
        <f t="shared" si="4"/>
        <v>5.8586387434554972</v>
      </c>
      <c r="P126" s="1">
        <v>955</v>
      </c>
      <c r="Q126" s="1">
        <v>4188.3933041864002</v>
      </c>
      <c r="R126" s="1">
        <v>35536.619480085799</v>
      </c>
      <c r="S126" s="5">
        <f t="shared" si="5"/>
        <v>35535.619480085799</v>
      </c>
      <c r="T126" s="1">
        <v>945</v>
      </c>
      <c r="U126" s="1">
        <v>135</v>
      </c>
      <c r="V126" s="1">
        <v>30</v>
      </c>
      <c r="W126" s="1">
        <v>5183</v>
      </c>
      <c r="X126" s="1">
        <v>0.73837512400000005</v>
      </c>
    </row>
    <row r="127" spans="1:24" x14ac:dyDescent="0.3">
      <c r="A127" s="2">
        <v>45322</v>
      </c>
      <c r="B127" s="1" t="s">
        <v>34</v>
      </c>
      <c r="C127" s="1" t="s">
        <v>26</v>
      </c>
      <c r="D127" s="1" t="s">
        <v>27</v>
      </c>
      <c r="E127" s="1" t="s">
        <v>28</v>
      </c>
      <c r="F127" s="1">
        <v>32</v>
      </c>
      <c r="G127" s="1" t="str" cm="1">
        <f t="array" ref="G127">_xlfn.IFS(F127&lt;=25,"YOUTH",F127&lt;=48,"ADULT",TRUE,"SENIOR")</f>
        <v>ADULT</v>
      </c>
      <c r="H127" s="1" t="s">
        <v>21</v>
      </c>
      <c r="I127" s="1" t="s">
        <v>37</v>
      </c>
      <c r="J127" s="1" t="s">
        <v>23</v>
      </c>
      <c r="K127" s="1" t="s">
        <v>24</v>
      </c>
      <c r="L127" s="1">
        <v>5491</v>
      </c>
      <c r="M127" s="3">
        <f t="shared" si="3"/>
        <v>0.13403751593516663</v>
      </c>
      <c r="N127" s="1">
        <v>736</v>
      </c>
      <c r="O127" s="4">
        <f t="shared" si="4"/>
        <v>46</v>
      </c>
      <c r="P127" s="1">
        <v>16</v>
      </c>
      <c r="Q127" s="1">
        <v>219.24739826069899</v>
      </c>
      <c r="R127" s="1">
        <v>98.5884720697684</v>
      </c>
      <c r="S127" s="5">
        <f t="shared" si="5"/>
        <v>97.5884720697684</v>
      </c>
      <c r="T127" s="1">
        <v>131</v>
      </c>
      <c r="U127" s="1">
        <v>16</v>
      </c>
      <c r="V127" s="1">
        <v>3</v>
      </c>
      <c r="W127" s="1">
        <v>741</v>
      </c>
      <c r="X127" s="1">
        <v>0.63397833824227201</v>
      </c>
    </row>
    <row r="128" spans="1:24" x14ac:dyDescent="0.3">
      <c r="A128" s="2">
        <v>45349</v>
      </c>
      <c r="B128" s="1" t="s">
        <v>25</v>
      </c>
      <c r="C128" s="1" t="s">
        <v>35</v>
      </c>
      <c r="D128" s="1" t="s">
        <v>32</v>
      </c>
      <c r="E128" s="1" t="s">
        <v>28</v>
      </c>
      <c r="F128" s="1">
        <v>32</v>
      </c>
      <c r="G128" s="1" t="str" cm="1">
        <f t="array" ref="G128">_xlfn.IFS(F128&lt;=25,"YOUTH",F128&lt;=48,"ADULT",TRUE,"SENIOR")</f>
        <v>ADULT</v>
      </c>
      <c r="H128" s="1" t="s">
        <v>29</v>
      </c>
      <c r="I128" s="1" t="s">
        <v>33</v>
      </c>
      <c r="J128" s="1" t="s">
        <v>38</v>
      </c>
      <c r="K128" s="1" t="s">
        <v>24</v>
      </c>
      <c r="L128" s="1">
        <v>16916</v>
      </c>
      <c r="M128" s="3">
        <f t="shared" si="3"/>
        <v>0.12343343580042564</v>
      </c>
      <c r="N128" s="1">
        <v>2088</v>
      </c>
      <c r="O128" s="4">
        <f t="shared" si="4"/>
        <v>4.2874743326488707</v>
      </c>
      <c r="P128" s="1">
        <v>487</v>
      </c>
      <c r="Q128" s="1">
        <v>2349.9324574509701</v>
      </c>
      <c r="R128" s="1">
        <v>13030.6466542833</v>
      </c>
      <c r="S128" s="5">
        <f t="shared" si="5"/>
        <v>13029.6466542833</v>
      </c>
      <c r="T128" s="1">
        <v>196</v>
      </c>
      <c r="U128" s="1">
        <v>17</v>
      </c>
      <c r="V128" s="1">
        <v>14</v>
      </c>
      <c r="W128" s="1">
        <v>854</v>
      </c>
      <c r="X128" s="1">
        <v>0.46986142338245801</v>
      </c>
    </row>
    <row r="129" spans="1:24" x14ac:dyDescent="0.3">
      <c r="A129" s="2">
        <v>45302</v>
      </c>
      <c r="B129" s="1" t="s">
        <v>25</v>
      </c>
      <c r="C129" s="1" t="s">
        <v>41</v>
      </c>
      <c r="D129" s="1" t="s">
        <v>19</v>
      </c>
      <c r="E129" s="1" t="s">
        <v>28</v>
      </c>
      <c r="F129" s="1">
        <v>43</v>
      </c>
      <c r="G129" s="1" t="str" cm="1">
        <f t="array" ref="G129">_xlfn.IFS(F129&lt;=25,"YOUTH",F129&lt;=48,"ADULT",TRUE,"SENIOR")</f>
        <v>ADULT</v>
      </c>
      <c r="H129" s="1" t="s">
        <v>21</v>
      </c>
      <c r="I129" s="1" t="s">
        <v>43</v>
      </c>
      <c r="J129" s="1" t="s">
        <v>23</v>
      </c>
      <c r="K129" s="1" t="s">
        <v>24</v>
      </c>
      <c r="L129" s="1">
        <v>16248</v>
      </c>
      <c r="M129" s="3">
        <f t="shared" si="3"/>
        <v>6.2346134908911867E-2</v>
      </c>
      <c r="N129" s="1">
        <v>1013</v>
      </c>
      <c r="O129" s="4">
        <f t="shared" si="4"/>
        <v>28.942857142857143</v>
      </c>
      <c r="P129" s="1">
        <v>35</v>
      </c>
      <c r="Q129" s="1">
        <v>460.99906225161402</v>
      </c>
      <c r="R129" s="1">
        <v>593.31162259999996</v>
      </c>
      <c r="S129" s="5">
        <f t="shared" si="5"/>
        <v>592.31162259999996</v>
      </c>
      <c r="T129" s="1">
        <v>142</v>
      </c>
      <c r="U129" s="1">
        <v>17</v>
      </c>
      <c r="V129" s="1">
        <v>9</v>
      </c>
      <c r="W129" s="1">
        <v>522</v>
      </c>
      <c r="X129" s="1">
        <v>0.56300218376245204</v>
      </c>
    </row>
    <row r="130" spans="1:24" x14ac:dyDescent="0.3">
      <c r="A130" s="2">
        <v>45295</v>
      </c>
      <c r="B130" s="1" t="s">
        <v>40</v>
      </c>
      <c r="C130" s="1" t="s">
        <v>41</v>
      </c>
      <c r="D130" s="1" t="s">
        <v>27</v>
      </c>
      <c r="E130" s="1" t="s">
        <v>20</v>
      </c>
      <c r="F130" s="1">
        <v>59</v>
      </c>
      <c r="G130" s="1" t="str" cm="1">
        <f t="array" ref="G130">_xlfn.IFS(F130&lt;=25,"YOUTH",F130&lt;=48,"ADULT",TRUE,"SENIOR")</f>
        <v>SENIOR</v>
      </c>
      <c r="H130" s="1" t="s">
        <v>21</v>
      </c>
      <c r="I130" s="1" t="s">
        <v>22</v>
      </c>
      <c r="J130" s="1" t="s">
        <v>23</v>
      </c>
      <c r="K130" s="1" t="s">
        <v>24</v>
      </c>
      <c r="L130" s="1">
        <v>3511</v>
      </c>
      <c r="M130" s="3">
        <f t="shared" si="3"/>
        <v>4.2153232697237253E-2</v>
      </c>
      <c r="N130" s="1">
        <v>148</v>
      </c>
      <c r="O130" s="4">
        <f t="shared" si="4"/>
        <v>9.8666666666666671</v>
      </c>
      <c r="P130" s="1">
        <v>15</v>
      </c>
      <c r="Q130" s="1">
        <v>95.340861469902407</v>
      </c>
      <c r="R130" s="1">
        <v>738.13927183888495</v>
      </c>
      <c r="S130" s="5">
        <f t="shared" si="5"/>
        <v>737.13927183888495</v>
      </c>
      <c r="T130" s="1">
        <v>79</v>
      </c>
      <c r="U130" s="1">
        <v>13</v>
      </c>
      <c r="V130" s="1">
        <v>3</v>
      </c>
      <c r="W130" s="1">
        <v>312</v>
      </c>
      <c r="X130" s="1">
        <v>0.71331338443455805</v>
      </c>
    </row>
    <row r="131" spans="1:24" x14ac:dyDescent="0.3">
      <c r="A131" s="2">
        <v>45350</v>
      </c>
      <c r="B131" s="1" t="s">
        <v>17</v>
      </c>
      <c r="C131" s="1" t="s">
        <v>26</v>
      </c>
      <c r="D131" s="1" t="s">
        <v>32</v>
      </c>
      <c r="E131" s="1" t="s">
        <v>20</v>
      </c>
      <c r="F131" s="1">
        <v>30</v>
      </c>
      <c r="G131" s="1" t="str" cm="1">
        <f t="array" ref="G131">_xlfn.IFS(F131&lt;=25,"YOUTH",F131&lt;=48,"ADULT",TRUE,"SENIOR")</f>
        <v>ADULT</v>
      </c>
      <c r="H131" s="1" t="s">
        <v>21</v>
      </c>
      <c r="I131" s="1" t="s">
        <v>22</v>
      </c>
      <c r="J131" s="1" t="s">
        <v>38</v>
      </c>
      <c r="K131" s="1" t="s">
        <v>24</v>
      </c>
      <c r="L131" s="1">
        <v>25226</v>
      </c>
      <c r="M131" s="3">
        <f t="shared" ref="M131:M194" si="6">(N131/L131)</f>
        <v>0.11285974787917229</v>
      </c>
      <c r="N131" s="1">
        <v>2847</v>
      </c>
      <c r="O131" s="4">
        <f t="shared" ref="O131:O194" si="7">(N131/P131)</f>
        <v>8.8968749999999996</v>
      </c>
      <c r="P131" s="1">
        <v>320</v>
      </c>
      <c r="Q131" s="1">
        <v>1118.913213</v>
      </c>
      <c r="R131" s="1">
        <v>2779.4567484969698</v>
      </c>
      <c r="S131" s="5">
        <f t="shared" ref="S131:S194" si="8">(R131-Q131/Q131)</f>
        <v>2778.4567484969698</v>
      </c>
      <c r="T131" s="1">
        <v>288</v>
      </c>
      <c r="U131" s="1">
        <v>49</v>
      </c>
      <c r="V131" s="1">
        <v>7</v>
      </c>
      <c r="W131" s="1">
        <v>1146</v>
      </c>
      <c r="X131" s="1">
        <v>0.76119235240548699</v>
      </c>
    </row>
    <row r="132" spans="1:24" x14ac:dyDescent="0.3">
      <c r="A132" s="2">
        <v>45309</v>
      </c>
      <c r="B132" s="1" t="s">
        <v>17</v>
      </c>
      <c r="C132" s="1" t="s">
        <v>35</v>
      </c>
      <c r="D132" s="1" t="s">
        <v>32</v>
      </c>
      <c r="E132" s="1" t="s">
        <v>20</v>
      </c>
      <c r="F132" s="1">
        <v>49</v>
      </c>
      <c r="G132" s="1" t="str" cm="1">
        <f t="array" ref="G132">_xlfn.IFS(F132&lt;=25,"YOUTH",F132&lt;=48,"ADULT",TRUE,"SENIOR")</f>
        <v>SENIOR</v>
      </c>
      <c r="H132" s="1" t="s">
        <v>42</v>
      </c>
      <c r="I132" s="1" t="s">
        <v>37</v>
      </c>
      <c r="J132" s="1" t="s">
        <v>23</v>
      </c>
      <c r="K132" s="1" t="s">
        <v>39</v>
      </c>
      <c r="L132" s="1">
        <v>26025</v>
      </c>
      <c r="M132" s="3">
        <f t="shared" si="6"/>
        <v>5.2603266090297793E-2</v>
      </c>
      <c r="N132" s="1">
        <v>1369</v>
      </c>
      <c r="O132" s="4">
        <f t="shared" si="7"/>
        <v>50.703703703703702</v>
      </c>
      <c r="P132" s="1">
        <v>27</v>
      </c>
      <c r="Q132" s="1">
        <v>3597.4332449985</v>
      </c>
      <c r="R132" s="1">
        <v>1124.47495140093</v>
      </c>
      <c r="S132" s="5">
        <f t="shared" si="8"/>
        <v>1123.47495140093</v>
      </c>
      <c r="T132" s="1">
        <v>730</v>
      </c>
      <c r="U132" s="1">
        <v>107</v>
      </c>
      <c r="V132" s="1">
        <v>51</v>
      </c>
      <c r="W132" s="1">
        <v>766</v>
      </c>
      <c r="X132" s="1">
        <v>0.65428473381489505</v>
      </c>
    </row>
    <row r="133" spans="1:24" x14ac:dyDescent="0.3">
      <c r="A133" s="2">
        <v>45295</v>
      </c>
      <c r="B133" s="1" t="s">
        <v>17</v>
      </c>
      <c r="C133" s="1" t="s">
        <v>41</v>
      </c>
      <c r="D133" s="1" t="s">
        <v>32</v>
      </c>
      <c r="E133" s="1" t="s">
        <v>20</v>
      </c>
      <c r="F133" s="1">
        <v>56</v>
      </c>
      <c r="G133" s="1" t="str" cm="1">
        <f t="array" ref="G133">_xlfn.IFS(F133&lt;=25,"YOUTH",F133&lt;=48,"ADULT",TRUE,"SENIOR")</f>
        <v>SENIOR</v>
      </c>
      <c r="H133" s="1" t="s">
        <v>21</v>
      </c>
      <c r="I133" s="1" t="s">
        <v>43</v>
      </c>
      <c r="J133" s="1" t="s">
        <v>38</v>
      </c>
      <c r="K133" s="1" t="s">
        <v>31</v>
      </c>
      <c r="L133" s="1">
        <v>43314</v>
      </c>
      <c r="M133" s="3">
        <f t="shared" si="6"/>
        <v>3.4630835295747335E-2</v>
      </c>
      <c r="N133" s="1">
        <v>1500</v>
      </c>
      <c r="O133" s="4">
        <f t="shared" si="7"/>
        <v>7.4626865671641793</v>
      </c>
      <c r="P133" s="1">
        <v>201</v>
      </c>
      <c r="Q133" s="1">
        <v>3794.2958367895799</v>
      </c>
      <c r="R133" s="1">
        <v>3756.90345151374</v>
      </c>
      <c r="S133" s="5">
        <f t="shared" si="8"/>
        <v>3755.90345151374</v>
      </c>
      <c r="T133" s="1">
        <v>356</v>
      </c>
      <c r="U133" s="1">
        <v>42</v>
      </c>
      <c r="V133" s="1">
        <v>23</v>
      </c>
      <c r="W133" s="1">
        <v>2921</v>
      </c>
      <c r="X133" s="1">
        <v>0.84217751385002004</v>
      </c>
    </row>
    <row r="134" spans="1:24" x14ac:dyDescent="0.3">
      <c r="A134" s="2">
        <v>45340</v>
      </c>
      <c r="B134" s="1" t="s">
        <v>40</v>
      </c>
      <c r="C134" s="1" t="s">
        <v>41</v>
      </c>
      <c r="D134" s="1" t="s">
        <v>19</v>
      </c>
      <c r="E134" s="1" t="s">
        <v>28</v>
      </c>
      <c r="F134" s="1">
        <v>49</v>
      </c>
      <c r="G134" s="1" t="str" cm="1">
        <f t="array" ref="G134">_xlfn.IFS(F134&lt;=25,"YOUTH",F134&lt;=48,"ADULT",TRUE,"SENIOR")</f>
        <v>SENIOR</v>
      </c>
      <c r="H134" s="1" t="s">
        <v>29</v>
      </c>
      <c r="I134" s="1" t="s">
        <v>33</v>
      </c>
      <c r="J134" s="1" t="s">
        <v>23</v>
      </c>
      <c r="K134" s="1" t="s">
        <v>31</v>
      </c>
      <c r="L134" s="1">
        <v>49380</v>
      </c>
      <c r="M134" s="3">
        <f t="shared" si="6"/>
        <v>0.1201093560145808</v>
      </c>
      <c r="N134" s="1">
        <v>5931</v>
      </c>
      <c r="O134" s="4">
        <f t="shared" si="7"/>
        <v>5.1799126637554584</v>
      </c>
      <c r="P134" s="1">
        <v>1145</v>
      </c>
      <c r="Q134" s="1">
        <v>6045.7079461676103</v>
      </c>
      <c r="R134" s="1">
        <v>76342.851527911</v>
      </c>
      <c r="S134" s="5">
        <f t="shared" si="8"/>
        <v>76341.851527911</v>
      </c>
      <c r="T134" s="1">
        <v>639</v>
      </c>
      <c r="U134" s="1">
        <v>87</v>
      </c>
      <c r="V134" s="1">
        <v>18</v>
      </c>
      <c r="W134" s="1">
        <v>8567</v>
      </c>
      <c r="X134" s="1">
        <v>0.46184222643664202</v>
      </c>
    </row>
    <row r="135" spans="1:24" x14ac:dyDescent="0.3">
      <c r="A135" s="2">
        <v>45325</v>
      </c>
      <c r="B135" s="1" t="s">
        <v>17</v>
      </c>
      <c r="C135" s="1" t="s">
        <v>41</v>
      </c>
      <c r="D135" s="1" t="s">
        <v>32</v>
      </c>
      <c r="E135" s="1" t="s">
        <v>28</v>
      </c>
      <c r="F135" s="1">
        <v>21</v>
      </c>
      <c r="G135" s="1" t="str" cm="1">
        <f t="array" ref="G135">_xlfn.IFS(F135&lt;=25,"YOUTH",F135&lt;=48,"ADULT",TRUE,"SENIOR")</f>
        <v>YOUTH</v>
      </c>
      <c r="H135" s="1" t="s">
        <v>21</v>
      </c>
      <c r="I135" s="1" t="s">
        <v>37</v>
      </c>
      <c r="J135" s="1" t="s">
        <v>23</v>
      </c>
      <c r="K135" s="1" t="s">
        <v>39</v>
      </c>
      <c r="L135" s="1">
        <v>8848</v>
      </c>
      <c r="M135" s="3">
        <f t="shared" si="6"/>
        <v>5.3684448462929475E-2</v>
      </c>
      <c r="N135" s="1">
        <v>475</v>
      </c>
      <c r="O135" s="4">
        <f t="shared" si="7"/>
        <v>4.7979797979797976</v>
      </c>
      <c r="P135" s="1">
        <v>99</v>
      </c>
      <c r="Q135" s="1">
        <v>439.03434865311402</v>
      </c>
      <c r="R135" s="1">
        <v>2654.2059629703499</v>
      </c>
      <c r="S135" s="5">
        <f t="shared" si="8"/>
        <v>2653.2059629703499</v>
      </c>
      <c r="T135" s="1">
        <v>56</v>
      </c>
      <c r="U135" s="1">
        <v>6</v>
      </c>
      <c r="V135" s="1">
        <v>5</v>
      </c>
      <c r="W135" s="1">
        <v>117</v>
      </c>
      <c r="X135" s="1">
        <v>0.44650014743682398</v>
      </c>
    </row>
    <row r="136" spans="1:24" x14ac:dyDescent="0.3">
      <c r="A136" s="2">
        <v>45320</v>
      </c>
      <c r="B136" s="1" t="s">
        <v>34</v>
      </c>
      <c r="C136" s="1" t="s">
        <v>26</v>
      </c>
      <c r="D136" s="1" t="s">
        <v>19</v>
      </c>
      <c r="E136" s="1" t="s">
        <v>28</v>
      </c>
      <c r="F136" s="1">
        <v>47</v>
      </c>
      <c r="G136" s="1" t="str" cm="1">
        <f t="array" ref="G136">_xlfn.IFS(F136&lt;=25,"YOUTH",F136&lt;=48,"ADULT",TRUE,"SENIOR")</f>
        <v>ADULT</v>
      </c>
      <c r="H136" s="1" t="s">
        <v>29</v>
      </c>
      <c r="I136" s="1" t="s">
        <v>33</v>
      </c>
      <c r="J136" s="1" t="s">
        <v>23</v>
      </c>
      <c r="K136" s="1" t="s">
        <v>31</v>
      </c>
      <c r="L136" s="1">
        <v>15274</v>
      </c>
      <c r="M136" s="3">
        <f t="shared" si="6"/>
        <v>0.13801230849810134</v>
      </c>
      <c r="N136" s="1">
        <v>2108</v>
      </c>
      <c r="O136" s="4">
        <f t="shared" si="7"/>
        <v>4.5042735042735043</v>
      </c>
      <c r="P136" s="1">
        <v>468</v>
      </c>
      <c r="Q136" s="1">
        <v>1278.87455731196</v>
      </c>
      <c r="R136" s="1">
        <v>12233.228641616301</v>
      </c>
      <c r="S136" s="5">
        <f t="shared" si="8"/>
        <v>12232.228641616301</v>
      </c>
      <c r="T136" s="1">
        <v>344</v>
      </c>
      <c r="U136" s="1">
        <v>23</v>
      </c>
      <c r="V136" s="1">
        <v>12</v>
      </c>
      <c r="W136" s="1">
        <v>1001</v>
      </c>
      <c r="X136" s="1">
        <v>0.42433434795979402</v>
      </c>
    </row>
    <row r="137" spans="1:24" x14ac:dyDescent="0.3">
      <c r="A137" s="2">
        <v>45315</v>
      </c>
      <c r="B137" s="1" t="s">
        <v>34</v>
      </c>
      <c r="C137" s="1" t="s">
        <v>35</v>
      </c>
      <c r="D137" s="1" t="s">
        <v>36</v>
      </c>
      <c r="E137" s="1" t="s">
        <v>28</v>
      </c>
      <c r="F137" s="1">
        <v>54</v>
      </c>
      <c r="G137" s="1" t="str" cm="1">
        <f t="array" ref="G137">_xlfn.IFS(F137&lt;=25,"YOUTH",F137&lt;=48,"ADULT",TRUE,"SENIOR")</f>
        <v>SENIOR</v>
      </c>
      <c r="H137" s="1" t="s">
        <v>29</v>
      </c>
      <c r="I137" s="1" t="s">
        <v>22</v>
      </c>
      <c r="J137" s="1" t="s">
        <v>23</v>
      </c>
      <c r="K137" s="1" t="s">
        <v>31</v>
      </c>
      <c r="L137" s="1">
        <v>31958</v>
      </c>
      <c r="M137" s="3">
        <f t="shared" si="6"/>
        <v>0.12766756367732648</v>
      </c>
      <c r="N137" s="1">
        <v>4080</v>
      </c>
      <c r="O137" s="4">
        <f t="shared" si="7"/>
        <v>7.5695732838589977</v>
      </c>
      <c r="P137" s="1">
        <v>539</v>
      </c>
      <c r="Q137" s="1">
        <v>2127.68790820396</v>
      </c>
      <c r="R137" s="1">
        <v>35045.781840000003</v>
      </c>
      <c r="S137" s="5">
        <f t="shared" si="8"/>
        <v>35044.781840000003</v>
      </c>
      <c r="T137" s="1">
        <v>871</v>
      </c>
      <c r="U137" s="1">
        <v>93</v>
      </c>
      <c r="V137" s="1">
        <v>69</v>
      </c>
      <c r="W137" s="1">
        <v>2894</v>
      </c>
      <c r="X137" s="1">
        <v>0.69470531169719296</v>
      </c>
    </row>
    <row r="138" spans="1:24" x14ac:dyDescent="0.3">
      <c r="A138" s="2">
        <v>45313</v>
      </c>
      <c r="B138" s="1" t="s">
        <v>34</v>
      </c>
      <c r="C138" s="1" t="s">
        <v>18</v>
      </c>
      <c r="D138" s="1" t="s">
        <v>32</v>
      </c>
      <c r="E138" s="1" t="s">
        <v>28</v>
      </c>
      <c r="F138" s="1">
        <v>40</v>
      </c>
      <c r="G138" s="1" t="str" cm="1">
        <f t="array" ref="G138">_xlfn.IFS(F138&lt;=25,"YOUTH",F138&lt;=48,"ADULT",TRUE,"SENIOR")</f>
        <v>ADULT</v>
      </c>
      <c r="H138" s="1" t="s">
        <v>21</v>
      </c>
      <c r="I138" s="1" t="s">
        <v>33</v>
      </c>
      <c r="J138" s="1" t="s">
        <v>30</v>
      </c>
      <c r="K138" s="1" t="s">
        <v>24</v>
      </c>
      <c r="L138" s="1">
        <v>36233</v>
      </c>
      <c r="M138" s="3">
        <f t="shared" si="6"/>
        <v>0.12866723704909888</v>
      </c>
      <c r="N138" s="1">
        <v>4662</v>
      </c>
      <c r="O138" s="4">
        <f t="shared" si="7"/>
        <v>6.0624187256176851</v>
      </c>
      <c r="P138" s="1">
        <v>769</v>
      </c>
      <c r="Q138" s="1">
        <v>4623.97280957781</v>
      </c>
      <c r="R138" s="1">
        <v>24706.135796402501</v>
      </c>
      <c r="S138" s="5">
        <f t="shared" si="8"/>
        <v>24705.135796402501</v>
      </c>
      <c r="T138" s="1">
        <v>757</v>
      </c>
      <c r="U138" s="1">
        <v>98</v>
      </c>
      <c r="V138" s="1">
        <v>68</v>
      </c>
      <c r="W138" s="1">
        <v>3877</v>
      </c>
      <c r="X138" s="1">
        <v>0.78842743732895104</v>
      </c>
    </row>
    <row r="139" spans="1:24" x14ac:dyDescent="0.3">
      <c r="A139" s="2">
        <v>45293</v>
      </c>
      <c r="B139" s="1" t="s">
        <v>34</v>
      </c>
      <c r="C139" s="1" t="s">
        <v>35</v>
      </c>
      <c r="D139" s="1" t="s">
        <v>27</v>
      </c>
      <c r="E139" s="1" t="s">
        <v>28</v>
      </c>
      <c r="F139" s="1">
        <v>56</v>
      </c>
      <c r="G139" s="1" t="str" cm="1">
        <f t="array" ref="G139">_xlfn.IFS(F139&lt;=25,"YOUTH",F139&lt;=48,"ADULT",TRUE,"SENIOR")</f>
        <v>SENIOR</v>
      </c>
      <c r="H139" s="1" t="s">
        <v>29</v>
      </c>
      <c r="I139" s="1" t="s">
        <v>33</v>
      </c>
      <c r="J139" s="1" t="s">
        <v>23</v>
      </c>
      <c r="K139" s="1" t="s">
        <v>24</v>
      </c>
      <c r="L139" s="1">
        <v>17304</v>
      </c>
      <c r="M139" s="3">
        <f t="shared" si="6"/>
        <v>0.11800739713361072</v>
      </c>
      <c r="N139" s="1">
        <v>2042</v>
      </c>
      <c r="O139" s="4">
        <f t="shared" si="7"/>
        <v>26.179487179487179</v>
      </c>
      <c r="P139" s="1">
        <v>78</v>
      </c>
      <c r="Q139" s="1">
        <v>396.92913842736698</v>
      </c>
      <c r="R139" s="1">
        <v>5271.7120343217102</v>
      </c>
      <c r="S139" s="5">
        <f t="shared" si="8"/>
        <v>5270.7120343217102</v>
      </c>
      <c r="T139" s="1">
        <v>492</v>
      </c>
      <c r="U139" s="1">
        <v>68</v>
      </c>
      <c r="V139" s="1">
        <v>32</v>
      </c>
      <c r="W139" s="1">
        <v>770</v>
      </c>
      <c r="X139" s="1">
        <v>0.47178676968239103</v>
      </c>
    </row>
    <row r="140" spans="1:24" x14ac:dyDescent="0.3">
      <c r="A140" s="2">
        <v>45335</v>
      </c>
      <c r="B140" s="1" t="s">
        <v>25</v>
      </c>
      <c r="C140" s="1" t="s">
        <v>35</v>
      </c>
      <c r="D140" s="1" t="s">
        <v>32</v>
      </c>
      <c r="E140" s="1" t="s">
        <v>28</v>
      </c>
      <c r="F140" s="1">
        <v>32</v>
      </c>
      <c r="G140" s="1" t="str" cm="1">
        <f t="array" ref="G140">_xlfn.IFS(F140&lt;=25,"YOUTH",F140&lt;=48,"ADULT",TRUE,"SENIOR")</f>
        <v>ADULT</v>
      </c>
      <c r="H140" s="1" t="s">
        <v>21</v>
      </c>
      <c r="I140" s="1" t="s">
        <v>37</v>
      </c>
      <c r="J140" s="1" t="s">
        <v>30</v>
      </c>
      <c r="K140" s="1" t="s">
        <v>24</v>
      </c>
      <c r="L140" s="1">
        <v>49437</v>
      </c>
      <c r="M140" s="3">
        <f t="shared" si="6"/>
        <v>0.1333211966745555</v>
      </c>
      <c r="N140" s="1">
        <v>6591</v>
      </c>
      <c r="O140" s="4">
        <f t="shared" si="7"/>
        <v>7.5671641791044779</v>
      </c>
      <c r="P140" s="1">
        <v>871</v>
      </c>
      <c r="Q140" s="1">
        <v>2555.8708953734599</v>
      </c>
      <c r="R140" s="1">
        <v>5723.4044860000004</v>
      </c>
      <c r="S140" s="5">
        <f t="shared" si="8"/>
        <v>5722.4044860000004</v>
      </c>
      <c r="T140" s="1">
        <v>406</v>
      </c>
      <c r="U140" s="1">
        <v>77</v>
      </c>
      <c r="V140" s="1">
        <v>16</v>
      </c>
      <c r="W140" s="1">
        <v>9551</v>
      </c>
      <c r="X140" s="1">
        <v>0.751420092020465</v>
      </c>
    </row>
    <row r="141" spans="1:24" x14ac:dyDescent="0.3">
      <c r="A141" s="2">
        <v>45297</v>
      </c>
      <c r="B141" s="1" t="s">
        <v>34</v>
      </c>
      <c r="C141" s="1" t="s">
        <v>26</v>
      </c>
      <c r="D141" s="1" t="s">
        <v>36</v>
      </c>
      <c r="E141" s="1" t="s">
        <v>28</v>
      </c>
      <c r="F141" s="1">
        <v>46</v>
      </c>
      <c r="G141" s="1" t="str" cm="1">
        <f t="array" ref="G141">_xlfn.IFS(F141&lt;=25,"YOUTH",F141&lt;=48,"ADULT",TRUE,"SENIOR")</f>
        <v>ADULT</v>
      </c>
      <c r="H141" s="1" t="s">
        <v>29</v>
      </c>
      <c r="I141" s="1" t="s">
        <v>33</v>
      </c>
      <c r="J141" s="1" t="s">
        <v>23</v>
      </c>
      <c r="K141" s="1" t="s">
        <v>31</v>
      </c>
      <c r="L141" s="1">
        <v>12294</v>
      </c>
      <c r="M141" s="3">
        <f t="shared" si="6"/>
        <v>0.12274280136652026</v>
      </c>
      <c r="N141" s="1">
        <v>1509</v>
      </c>
      <c r="O141" s="4">
        <f t="shared" si="7"/>
        <v>18.180722891566266</v>
      </c>
      <c r="P141" s="1">
        <v>83</v>
      </c>
      <c r="Q141" s="1">
        <v>489.72717676454698</v>
      </c>
      <c r="R141" s="1">
        <v>2067.7289832155702</v>
      </c>
      <c r="S141" s="5">
        <f t="shared" si="8"/>
        <v>2066.7289832155702</v>
      </c>
      <c r="T141" s="1">
        <v>88</v>
      </c>
      <c r="U141" s="1">
        <v>14</v>
      </c>
      <c r="V141" s="1">
        <v>3</v>
      </c>
      <c r="W141" s="1">
        <v>1475</v>
      </c>
      <c r="X141" s="1">
        <v>0.66232127140424402</v>
      </c>
    </row>
    <row r="142" spans="1:24" x14ac:dyDescent="0.3">
      <c r="A142" s="2">
        <v>45333</v>
      </c>
      <c r="B142" s="1" t="s">
        <v>17</v>
      </c>
      <c r="C142" s="1" t="s">
        <v>41</v>
      </c>
      <c r="D142" s="1" t="s">
        <v>36</v>
      </c>
      <c r="E142" s="1" t="s">
        <v>20</v>
      </c>
      <c r="F142" s="1">
        <v>53</v>
      </c>
      <c r="G142" s="1" t="str" cm="1">
        <f t="array" ref="G142">_xlfn.IFS(F142&lt;=25,"YOUTH",F142&lt;=48,"ADULT",TRUE,"SENIOR")</f>
        <v>SENIOR</v>
      </c>
      <c r="H142" s="1" t="s">
        <v>21</v>
      </c>
      <c r="I142" s="1" t="s">
        <v>37</v>
      </c>
      <c r="J142" s="1" t="s">
        <v>23</v>
      </c>
      <c r="K142" s="1" t="s">
        <v>31</v>
      </c>
      <c r="L142" s="1">
        <v>27425</v>
      </c>
      <c r="M142" s="3">
        <f t="shared" si="6"/>
        <v>9.432999088422972E-2</v>
      </c>
      <c r="N142" s="1">
        <v>2587</v>
      </c>
      <c r="O142" s="4">
        <f t="shared" si="7"/>
        <v>9.5461254612546131</v>
      </c>
      <c r="P142" s="1">
        <v>271</v>
      </c>
      <c r="Q142" s="1">
        <v>3611.72372030207</v>
      </c>
      <c r="R142" s="1">
        <v>13089.988995093099</v>
      </c>
      <c r="S142" s="5">
        <f t="shared" si="8"/>
        <v>13088.988995093099</v>
      </c>
      <c r="T142" s="1">
        <v>711</v>
      </c>
      <c r="U142" s="1">
        <v>51</v>
      </c>
      <c r="V142" s="1">
        <v>64</v>
      </c>
      <c r="W142" s="1">
        <v>2994</v>
      </c>
      <c r="X142" s="1">
        <v>0.94303947508311303</v>
      </c>
    </row>
    <row r="143" spans="1:24" x14ac:dyDescent="0.3">
      <c r="A143" s="2">
        <v>45316</v>
      </c>
      <c r="B143" s="1" t="s">
        <v>40</v>
      </c>
      <c r="C143" s="1" t="s">
        <v>41</v>
      </c>
      <c r="D143" s="1" t="s">
        <v>32</v>
      </c>
      <c r="E143" s="1" t="s">
        <v>20</v>
      </c>
      <c r="F143" s="1">
        <v>30</v>
      </c>
      <c r="G143" s="1" t="str" cm="1">
        <f t="array" ref="G143">_xlfn.IFS(F143&lt;=25,"YOUTH",F143&lt;=48,"ADULT",TRUE,"SENIOR")</f>
        <v>ADULT</v>
      </c>
      <c r="H143" s="1" t="s">
        <v>29</v>
      </c>
      <c r="I143" s="1" t="s">
        <v>22</v>
      </c>
      <c r="J143" s="1" t="s">
        <v>23</v>
      </c>
      <c r="K143" s="1" t="s">
        <v>31</v>
      </c>
      <c r="L143" s="1">
        <v>4175</v>
      </c>
      <c r="M143" s="3">
        <f t="shared" si="6"/>
        <v>5.1257485029940118E-2</v>
      </c>
      <c r="N143" s="1">
        <v>214</v>
      </c>
      <c r="O143" s="4">
        <f t="shared" si="7"/>
        <v>10.7</v>
      </c>
      <c r="P143" s="1">
        <v>20</v>
      </c>
      <c r="Q143" s="1">
        <v>337.25942442129099</v>
      </c>
      <c r="R143" s="1">
        <v>1258.1140539999999</v>
      </c>
      <c r="S143" s="5">
        <f t="shared" si="8"/>
        <v>1257.1140539999999</v>
      </c>
      <c r="T143" s="1">
        <v>110</v>
      </c>
      <c r="U143" s="1">
        <v>8</v>
      </c>
      <c r="V143" s="1">
        <v>4</v>
      </c>
      <c r="W143" s="1">
        <v>48</v>
      </c>
      <c r="X143" s="1">
        <v>0.79461048509652599</v>
      </c>
    </row>
    <row r="144" spans="1:24" x14ac:dyDescent="0.3">
      <c r="A144" s="2">
        <v>45346</v>
      </c>
      <c r="B144" s="1" t="s">
        <v>17</v>
      </c>
      <c r="C144" s="1" t="s">
        <v>26</v>
      </c>
      <c r="D144" s="1" t="s">
        <v>36</v>
      </c>
      <c r="E144" s="1" t="s">
        <v>28</v>
      </c>
      <c r="F144" s="1">
        <v>49</v>
      </c>
      <c r="G144" s="1" t="str" cm="1">
        <f t="array" ref="G144">_xlfn.IFS(F144&lt;=25,"YOUTH",F144&lt;=48,"ADULT",TRUE,"SENIOR")</f>
        <v>SENIOR</v>
      </c>
      <c r="H144" s="1" t="s">
        <v>42</v>
      </c>
      <c r="I144" s="1" t="s">
        <v>37</v>
      </c>
      <c r="J144" s="1" t="s">
        <v>23</v>
      </c>
      <c r="K144" s="1" t="s">
        <v>31</v>
      </c>
      <c r="L144" s="1">
        <v>41617</v>
      </c>
      <c r="M144" s="3">
        <f t="shared" si="6"/>
        <v>0.1343441382127496</v>
      </c>
      <c r="N144" s="1">
        <v>5591</v>
      </c>
      <c r="O144" s="4">
        <f t="shared" si="7"/>
        <v>8.5228658536585371</v>
      </c>
      <c r="P144" s="1">
        <v>656</v>
      </c>
      <c r="Q144" s="1">
        <v>3019.2553236715098</v>
      </c>
      <c r="R144" s="1">
        <v>14213.134485873201</v>
      </c>
      <c r="S144" s="5">
        <f t="shared" si="8"/>
        <v>14212.134485873201</v>
      </c>
      <c r="T144" s="1">
        <v>1072</v>
      </c>
      <c r="U144" s="1">
        <v>69</v>
      </c>
      <c r="V144" s="1">
        <v>85</v>
      </c>
      <c r="W144" s="1">
        <v>4256</v>
      </c>
      <c r="X144" s="1">
        <v>0.76161033435539405</v>
      </c>
    </row>
    <row r="145" spans="1:24" x14ac:dyDescent="0.3">
      <c r="A145" s="2">
        <v>45348</v>
      </c>
      <c r="B145" s="1" t="s">
        <v>34</v>
      </c>
      <c r="C145" s="1" t="s">
        <v>26</v>
      </c>
      <c r="D145" s="1" t="s">
        <v>19</v>
      </c>
      <c r="E145" s="1" t="s">
        <v>20</v>
      </c>
      <c r="F145" s="1">
        <v>24</v>
      </c>
      <c r="G145" s="1" t="str" cm="1">
        <f t="array" ref="G145">_xlfn.IFS(F145&lt;=25,"YOUTH",F145&lt;=48,"ADULT",TRUE,"SENIOR")</f>
        <v>YOUTH</v>
      </c>
      <c r="H145" s="1" t="s">
        <v>21</v>
      </c>
      <c r="I145" s="1" t="s">
        <v>37</v>
      </c>
      <c r="J145" s="1" t="s">
        <v>38</v>
      </c>
      <c r="K145" s="1" t="s">
        <v>31</v>
      </c>
      <c r="L145" s="1">
        <v>46241</v>
      </c>
      <c r="M145" s="3">
        <f t="shared" si="6"/>
        <v>0.12767889967777513</v>
      </c>
      <c r="N145" s="1">
        <v>5904</v>
      </c>
      <c r="O145" s="4">
        <f t="shared" si="7"/>
        <v>6.6040268456375841</v>
      </c>
      <c r="P145" s="1">
        <v>894</v>
      </c>
      <c r="Q145" s="1">
        <v>3626.8092123010802</v>
      </c>
      <c r="R145" s="1">
        <v>58540.052869008701</v>
      </c>
      <c r="S145" s="5">
        <f t="shared" si="8"/>
        <v>58539.052869008701</v>
      </c>
      <c r="T145" s="1">
        <v>1154</v>
      </c>
      <c r="U145" s="1">
        <v>185</v>
      </c>
      <c r="V145" s="1">
        <v>114</v>
      </c>
      <c r="W145" s="1">
        <v>7822</v>
      </c>
      <c r="X145" s="1">
        <v>0.71374735417978896</v>
      </c>
    </row>
    <row r="146" spans="1:24" x14ac:dyDescent="0.3">
      <c r="A146" s="2">
        <v>45312</v>
      </c>
      <c r="B146" s="1" t="s">
        <v>25</v>
      </c>
      <c r="C146" s="1" t="s">
        <v>26</v>
      </c>
      <c r="D146" s="1" t="s">
        <v>19</v>
      </c>
      <c r="E146" s="1" t="s">
        <v>28</v>
      </c>
      <c r="F146" s="1">
        <v>39</v>
      </c>
      <c r="G146" s="1" t="str" cm="1">
        <f t="array" ref="G146">_xlfn.IFS(F146&lt;=25,"YOUTH",F146&lt;=48,"ADULT",TRUE,"SENIOR")</f>
        <v>ADULT</v>
      </c>
      <c r="H146" s="1" t="s">
        <v>29</v>
      </c>
      <c r="I146" s="1" t="s">
        <v>43</v>
      </c>
      <c r="J146" s="1" t="s">
        <v>23</v>
      </c>
      <c r="K146" s="1" t="s">
        <v>31</v>
      </c>
      <c r="L146" s="1">
        <v>28775</v>
      </c>
      <c r="M146" s="3">
        <f t="shared" si="6"/>
        <v>7.6177237185056479E-2</v>
      </c>
      <c r="N146" s="1">
        <v>2192</v>
      </c>
      <c r="O146" s="4">
        <f t="shared" si="7"/>
        <v>4.3927855711422845</v>
      </c>
      <c r="P146" s="1">
        <v>499</v>
      </c>
      <c r="Q146" s="1">
        <v>4211.22676303976</v>
      </c>
      <c r="R146" s="1">
        <v>21765.3297659011</v>
      </c>
      <c r="S146" s="5">
        <f t="shared" si="8"/>
        <v>21764.3297659011</v>
      </c>
      <c r="T146" s="1">
        <v>404</v>
      </c>
      <c r="U146" s="1">
        <v>62</v>
      </c>
      <c r="V146" s="1">
        <v>40</v>
      </c>
      <c r="W146" s="1">
        <v>1488</v>
      </c>
      <c r="X146" s="1">
        <v>0.94855140000000004</v>
      </c>
    </row>
    <row r="147" spans="1:24" x14ac:dyDescent="0.3">
      <c r="A147" s="2">
        <v>45346</v>
      </c>
      <c r="B147" s="1" t="s">
        <v>34</v>
      </c>
      <c r="C147" s="1" t="s">
        <v>26</v>
      </c>
      <c r="D147" s="1" t="s">
        <v>32</v>
      </c>
      <c r="E147" s="1" t="s">
        <v>28</v>
      </c>
      <c r="F147" s="1">
        <v>45</v>
      </c>
      <c r="G147" s="1" t="str" cm="1">
        <f t="array" ref="G147">_xlfn.IFS(F147&lt;=25,"YOUTH",F147&lt;=48,"ADULT",TRUE,"SENIOR")</f>
        <v>ADULT</v>
      </c>
      <c r="H147" s="1" t="s">
        <v>21</v>
      </c>
      <c r="I147" s="1" t="s">
        <v>33</v>
      </c>
      <c r="J147" s="1" t="s">
        <v>23</v>
      </c>
      <c r="K147" s="1" t="s">
        <v>24</v>
      </c>
      <c r="L147" s="1">
        <v>10425</v>
      </c>
      <c r="M147" s="3">
        <f t="shared" si="6"/>
        <v>1.5443645083932854E-2</v>
      </c>
      <c r="N147" s="1">
        <v>161</v>
      </c>
      <c r="O147" s="4">
        <f t="shared" si="7"/>
        <v>9.4705882352941178</v>
      </c>
      <c r="P147" s="1">
        <v>17</v>
      </c>
      <c r="Q147" s="1">
        <v>1360.82488617376</v>
      </c>
      <c r="R147" s="1">
        <v>970.11410873369698</v>
      </c>
      <c r="S147" s="5">
        <f t="shared" si="8"/>
        <v>969.11410873369698</v>
      </c>
      <c r="T147" s="1">
        <v>108</v>
      </c>
      <c r="U147" s="1">
        <v>21</v>
      </c>
      <c r="V147" s="1">
        <v>6</v>
      </c>
      <c r="W147" s="1">
        <v>799</v>
      </c>
      <c r="X147" s="1">
        <v>0.93925254397001701</v>
      </c>
    </row>
    <row r="148" spans="1:24" x14ac:dyDescent="0.3">
      <c r="A148" s="2">
        <v>45350</v>
      </c>
      <c r="B148" s="1" t="s">
        <v>40</v>
      </c>
      <c r="C148" s="1" t="s">
        <v>26</v>
      </c>
      <c r="D148" s="1" t="s">
        <v>19</v>
      </c>
      <c r="E148" s="1" t="s">
        <v>20</v>
      </c>
      <c r="F148" s="1">
        <v>19</v>
      </c>
      <c r="G148" s="1" t="str" cm="1">
        <f t="array" ref="G148">_xlfn.IFS(F148&lt;=25,"YOUTH",F148&lt;=48,"ADULT",TRUE,"SENIOR")</f>
        <v>YOUTH</v>
      </c>
      <c r="H148" s="1" t="s">
        <v>42</v>
      </c>
      <c r="I148" s="1" t="s">
        <v>22</v>
      </c>
      <c r="J148" s="1" t="s">
        <v>23</v>
      </c>
      <c r="K148" s="1" t="s">
        <v>39</v>
      </c>
      <c r="L148" s="1">
        <v>27013</v>
      </c>
      <c r="M148" s="3">
        <f t="shared" si="6"/>
        <v>9.935956761559249E-2</v>
      </c>
      <c r="N148" s="1">
        <v>2684</v>
      </c>
      <c r="O148" s="4">
        <f t="shared" si="7"/>
        <v>4.0728376327769347</v>
      </c>
      <c r="P148" s="1">
        <v>659</v>
      </c>
      <c r="Q148" s="1">
        <v>3020.8081524190002</v>
      </c>
      <c r="R148" s="1">
        <v>20309.374879985899</v>
      </c>
      <c r="S148" s="5">
        <f t="shared" si="8"/>
        <v>20308.374879985899</v>
      </c>
      <c r="T148" s="1">
        <v>762</v>
      </c>
      <c r="U148" s="1">
        <v>97</v>
      </c>
      <c r="V148" s="1">
        <v>65</v>
      </c>
      <c r="W148" s="1">
        <v>375</v>
      </c>
      <c r="X148" s="1">
        <v>0.69596331902198605</v>
      </c>
    </row>
    <row r="149" spans="1:24" x14ac:dyDescent="0.3">
      <c r="A149" s="2">
        <v>45307</v>
      </c>
      <c r="B149" s="1" t="s">
        <v>17</v>
      </c>
      <c r="C149" s="1" t="s">
        <v>18</v>
      </c>
      <c r="D149" s="1" t="s">
        <v>19</v>
      </c>
      <c r="E149" s="1" t="s">
        <v>28</v>
      </c>
      <c r="F149" s="1">
        <v>59</v>
      </c>
      <c r="G149" s="1" t="str" cm="1">
        <f t="array" ref="G149">_xlfn.IFS(F149&lt;=25,"YOUTH",F149&lt;=48,"ADULT",TRUE,"SENIOR")</f>
        <v>SENIOR</v>
      </c>
      <c r="H149" s="1" t="s">
        <v>21</v>
      </c>
      <c r="I149" s="1" t="s">
        <v>37</v>
      </c>
      <c r="J149" s="1" t="s">
        <v>23</v>
      </c>
      <c r="K149" s="1" t="s">
        <v>31</v>
      </c>
      <c r="L149" s="1">
        <v>28928</v>
      </c>
      <c r="M149" s="3">
        <f t="shared" si="6"/>
        <v>1.7076880530973452E-2</v>
      </c>
      <c r="N149" s="1">
        <v>494</v>
      </c>
      <c r="O149" s="4">
        <f t="shared" si="7"/>
        <v>5.145833333333333</v>
      </c>
      <c r="P149" s="1">
        <v>96</v>
      </c>
      <c r="Q149" s="1">
        <v>1670.94679321334</v>
      </c>
      <c r="R149" s="1">
        <v>1804.00558721728</v>
      </c>
      <c r="S149" s="5">
        <f t="shared" si="8"/>
        <v>1803.00558721728</v>
      </c>
      <c r="T149" s="1">
        <v>366</v>
      </c>
      <c r="U149" s="1">
        <v>63</v>
      </c>
      <c r="V149" s="1">
        <v>36</v>
      </c>
      <c r="W149" s="1">
        <v>5658</v>
      </c>
      <c r="X149" s="1">
        <v>0.650350841033843</v>
      </c>
    </row>
    <row r="150" spans="1:24" x14ac:dyDescent="0.3">
      <c r="A150" s="2">
        <v>45322</v>
      </c>
      <c r="B150" s="1" t="s">
        <v>40</v>
      </c>
      <c r="C150" s="1" t="s">
        <v>35</v>
      </c>
      <c r="D150" s="1" t="s">
        <v>27</v>
      </c>
      <c r="E150" s="1" t="s">
        <v>28</v>
      </c>
      <c r="F150" s="1">
        <v>23</v>
      </c>
      <c r="G150" s="1" t="str" cm="1">
        <f t="array" ref="G150">_xlfn.IFS(F150&lt;=25,"YOUTH",F150&lt;=48,"ADULT",TRUE,"SENIOR")</f>
        <v>YOUTH</v>
      </c>
      <c r="H150" s="1" t="s">
        <v>29</v>
      </c>
      <c r="I150" s="1" t="s">
        <v>22</v>
      </c>
      <c r="J150" s="1" t="s">
        <v>23</v>
      </c>
      <c r="K150" s="1" t="s">
        <v>31</v>
      </c>
      <c r="L150" s="1">
        <v>45990</v>
      </c>
      <c r="M150" s="3">
        <f t="shared" si="6"/>
        <v>0.13966079582517937</v>
      </c>
      <c r="N150" s="1">
        <v>6423</v>
      </c>
      <c r="O150" s="4">
        <f t="shared" si="7"/>
        <v>7.2658371040723981</v>
      </c>
      <c r="P150" s="1">
        <v>884</v>
      </c>
      <c r="Q150" s="1">
        <v>1907.3198122209401</v>
      </c>
      <c r="R150" s="1">
        <v>56779.586971624398</v>
      </c>
      <c r="S150" s="5">
        <f t="shared" si="8"/>
        <v>56778.586971624398</v>
      </c>
      <c r="T150" s="1">
        <v>688</v>
      </c>
      <c r="U150" s="1">
        <v>93</v>
      </c>
      <c r="V150" s="1">
        <v>34</v>
      </c>
      <c r="W150" s="1">
        <v>1042</v>
      </c>
      <c r="X150" s="1">
        <v>0.65416320748596302</v>
      </c>
    </row>
    <row r="151" spans="1:24" x14ac:dyDescent="0.3">
      <c r="A151" s="2">
        <v>45305</v>
      </c>
      <c r="B151" s="1" t="s">
        <v>40</v>
      </c>
      <c r="C151" s="1" t="s">
        <v>35</v>
      </c>
      <c r="D151" s="1" t="s">
        <v>32</v>
      </c>
      <c r="E151" s="1" t="s">
        <v>28</v>
      </c>
      <c r="F151" s="1">
        <v>45</v>
      </c>
      <c r="G151" s="1" t="str" cm="1">
        <f t="array" ref="G151">_xlfn.IFS(F151&lt;=25,"YOUTH",F151&lt;=48,"ADULT",TRUE,"SENIOR")</f>
        <v>ADULT</v>
      </c>
      <c r="H151" s="1" t="s">
        <v>21</v>
      </c>
      <c r="I151" s="1" t="s">
        <v>43</v>
      </c>
      <c r="J151" s="1" t="s">
        <v>23</v>
      </c>
      <c r="K151" s="1" t="s">
        <v>39</v>
      </c>
      <c r="L151" s="1">
        <v>42212</v>
      </c>
      <c r="M151" s="3">
        <f t="shared" si="6"/>
        <v>0.14462712025016583</v>
      </c>
      <c r="N151" s="1">
        <v>6105</v>
      </c>
      <c r="O151" s="4">
        <f t="shared" si="7"/>
        <v>5.9502923976608191</v>
      </c>
      <c r="P151" s="1">
        <v>1026</v>
      </c>
      <c r="Q151" s="1">
        <v>5900.6623252894196</v>
      </c>
      <c r="R151" s="1">
        <v>67360.831064010694</v>
      </c>
      <c r="S151" s="5">
        <f t="shared" si="8"/>
        <v>67359.831064010694</v>
      </c>
      <c r="T151" s="1">
        <v>949</v>
      </c>
      <c r="U151" s="1">
        <v>171</v>
      </c>
      <c r="V151" s="1">
        <v>38</v>
      </c>
      <c r="W151" s="1">
        <v>7626</v>
      </c>
      <c r="X151" s="1">
        <v>0.63558831467785104</v>
      </c>
    </row>
    <row r="152" spans="1:24" x14ac:dyDescent="0.3">
      <c r="A152" s="2">
        <v>45330</v>
      </c>
      <c r="B152" s="1" t="s">
        <v>40</v>
      </c>
      <c r="C152" s="1" t="s">
        <v>35</v>
      </c>
      <c r="D152" s="1" t="s">
        <v>36</v>
      </c>
      <c r="E152" s="1" t="s">
        <v>28</v>
      </c>
      <c r="F152" s="1">
        <v>45</v>
      </c>
      <c r="G152" s="1" t="str" cm="1">
        <f t="array" ref="G152">_xlfn.IFS(F152&lt;=25,"YOUTH",F152&lt;=48,"ADULT",TRUE,"SENIOR")</f>
        <v>ADULT</v>
      </c>
      <c r="H152" s="1" t="s">
        <v>21</v>
      </c>
      <c r="I152" s="1" t="s">
        <v>33</v>
      </c>
      <c r="J152" s="1" t="s">
        <v>38</v>
      </c>
      <c r="K152" s="1" t="s">
        <v>31</v>
      </c>
      <c r="L152" s="1">
        <v>9210</v>
      </c>
      <c r="M152" s="3">
        <f t="shared" si="6"/>
        <v>3.6482084690553744E-2</v>
      </c>
      <c r="N152" s="1">
        <v>336</v>
      </c>
      <c r="O152" s="4">
        <f t="shared" si="7"/>
        <v>24</v>
      </c>
      <c r="P152" s="1">
        <v>14</v>
      </c>
      <c r="Q152" s="1">
        <v>690.7483234</v>
      </c>
      <c r="R152" s="1">
        <v>522.79338118026305</v>
      </c>
      <c r="S152" s="5">
        <f t="shared" si="8"/>
        <v>521.79338118026305</v>
      </c>
      <c r="T152" s="1">
        <v>113</v>
      </c>
      <c r="U152" s="1">
        <v>17</v>
      </c>
      <c r="V152" s="1">
        <v>3</v>
      </c>
      <c r="W152" s="1">
        <v>639</v>
      </c>
      <c r="X152" s="1">
        <v>0.69226906884797701</v>
      </c>
    </row>
    <row r="153" spans="1:24" x14ac:dyDescent="0.3">
      <c r="A153" s="2">
        <v>45319</v>
      </c>
      <c r="B153" s="1" t="s">
        <v>17</v>
      </c>
      <c r="C153" s="1" t="s">
        <v>41</v>
      </c>
      <c r="D153" s="1" t="s">
        <v>32</v>
      </c>
      <c r="E153" s="1" t="s">
        <v>28</v>
      </c>
      <c r="F153" s="1">
        <v>37</v>
      </c>
      <c r="G153" s="1" t="str" cm="1">
        <f t="array" ref="G153">_xlfn.IFS(F153&lt;=25,"YOUTH",F153&lt;=48,"ADULT",TRUE,"SENIOR")</f>
        <v>ADULT</v>
      </c>
      <c r="H153" s="1" t="s">
        <v>21</v>
      </c>
      <c r="I153" s="1" t="s">
        <v>37</v>
      </c>
      <c r="J153" s="1" t="s">
        <v>23</v>
      </c>
      <c r="K153" s="1" t="s">
        <v>24</v>
      </c>
      <c r="L153" s="1">
        <v>3759</v>
      </c>
      <c r="M153" s="3">
        <f t="shared" si="6"/>
        <v>0.10454908220271349</v>
      </c>
      <c r="N153" s="1">
        <v>393</v>
      </c>
      <c r="O153" s="4">
        <f t="shared" si="7"/>
        <v>4.6785714285714288</v>
      </c>
      <c r="P153" s="1">
        <v>84</v>
      </c>
      <c r="Q153" s="1">
        <v>211.3995965</v>
      </c>
      <c r="R153" s="1">
        <v>455.46278735594001</v>
      </c>
      <c r="S153" s="5">
        <f t="shared" si="8"/>
        <v>454.46278735594001</v>
      </c>
      <c r="T153" s="1">
        <v>95</v>
      </c>
      <c r="U153" s="1">
        <v>13</v>
      </c>
      <c r="V153" s="1">
        <v>2</v>
      </c>
      <c r="W153" s="1">
        <v>457</v>
      </c>
      <c r="X153" s="1">
        <v>0.55047134729790304</v>
      </c>
    </row>
    <row r="154" spans="1:24" x14ac:dyDescent="0.3">
      <c r="A154" s="2">
        <v>45323</v>
      </c>
      <c r="B154" s="1" t="s">
        <v>34</v>
      </c>
      <c r="C154" s="1" t="s">
        <v>18</v>
      </c>
      <c r="D154" s="1" t="s">
        <v>19</v>
      </c>
      <c r="E154" s="1" t="s">
        <v>28</v>
      </c>
      <c r="F154" s="1">
        <v>47</v>
      </c>
      <c r="G154" s="1" t="str" cm="1">
        <f t="array" ref="G154">_xlfn.IFS(F154&lt;=25,"YOUTH",F154&lt;=48,"ADULT",TRUE,"SENIOR")</f>
        <v>ADULT</v>
      </c>
      <c r="H154" s="1" t="s">
        <v>21</v>
      </c>
      <c r="I154" s="1" t="s">
        <v>33</v>
      </c>
      <c r="J154" s="1" t="s">
        <v>23</v>
      </c>
      <c r="K154" s="1" t="s">
        <v>31</v>
      </c>
      <c r="L154" s="1">
        <v>17091</v>
      </c>
      <c r="M154" s="3">
        <f t="shared" si="6"/>
        <v>2.2877537885436779E-2</v>
      </c>
      <c r="N154" s="1">
        <v>391</v>
      </c>
      <c r="O154" s="4">
        <f t="shared" si="7"/>
        <v>6.5166666666666666</v>
      </c>
      <c r="P154" s="1">
        <v>60</v>
      </c>
      <c r="Q154" s="1">
        <v>1388.12601975949</v>
      </c>
      <c r="R154" s="1">
        <v>728.15351931457701</v>
      </c>
      <c r="S154" s="5">
        <f t="shared" si="8"/>
        <v>727.15351931457701</v>
      </c>
      <c r="T154" s="1">
        <v>115</v>
      </c>
      <c r="U154" s="1">
        <v>15</v>
      </c>
      <c r="V154" s="1">
        <v>10</v>
      </c>
      <c r="W154" s="1">
        <v>2376</v>
      </c>
      <c r="X154" s="1">
        <v>0.90973383071293401</v>
      </c>
    </row>
    <row r="155" spans="1:24" x14ac:dyDescent="0.3">
      <c r="A155" s="2">
        <v>45319</v>
      </c>
      <c r="B155" s="1" t="s">
        <v>40</v>
      </c>
      <c r="C155" s="1" t="s">
        <v>35</v>
      </c>
      <c r="D155" s="1" t="s">
        <v>27</v>
      </c>
      <c r="E155" s="1" t="s">
        <v>28</v>
      </c>
      <c r="F155" s="1">
        <v>28</v>
      </c>
      <c r="G155" s="1" t="str" cm="1">
        <f t="array" ref="G155">_xlfn.IFS(F155&lt;=25,"YOUTH",F155&lt;=48,"ADULT",TRUE,"SENIOR")</f>
        <v>ADULT</v>
      </c>
      <c r="H155" s="1" t="s">
        <v>29</v>
      </c>
      <c r="I155" s="1" t="s">
        <v>43</v>
      </c>
      <c r="J155" s="1" t="s">
        <v>23</v>
      </c>
      <c r="K155" s="1" t="s">
        <v>31</v>
      </c>
      <c r="L155" s="1">
        <v>1002</v>
      </c>
      <c r="M155" s="3">
        <f t="shared" si="6"/>
        <v>0.11177644710578842</v>
      </c>
      <c r="N155" s="1">
        <v>112</v>
      </c>
      <c r="O155" s="4">
        <f t="shared" si="7"/>
        <v>4.1481481481481479</v>
      </c>
      <c r="P155" s="1">
        <v>27</v>
      </c>
      <c r="Q155" s="1">
        <v>139.598805296579</v>
      </c>
      <c r="R155" s="1">
        <v>1140.66407020667</v>
      </c>
      <c r="S155" s="5">
        <f t="shared" si="8"/>
        <v>1139.66407020667</v>
      </c>
      <c r="T155" s="1">
        <v>24</v>
      </c>
      <c r="U155" s="1">
        <v>3</v>
      </c>
      <c r="V155" s="1">
        <v>1</v>
      </c>
      <c r="W155" s="1">
        <v>36</v>
      </c>
      <c r="X155" s="1">
        <v>0.66962654480406403</v>
      </c>
    </row>
    <row r="156" spans="1:24" x14ac:dyDescent="0.3">
      <c r="A156" s="2">
        <v>45342</v>
      </c>
      <c r="B156" s="1" t="s">
        <v>17</v>
      </c>
      <c r="C156" s="1" t="s">
        <v>41</v>
      </c>
      <c r="D156" s="1" t="s">
        <v>32</v>
      </c>
      <c r="E156" s="1" t="s">
        <v>20</v>
      </c>
      <c r="F156" s="1">
        <v>45</v>
      </c>
      <c r="G156" s="1" t="str" cm="1">
        <f t="array" ref="G156">_xlfn.IFS(F156&lt;=25,"YOUTH",F156&lt;=48,"ADULT",TRUE,"SENIOR")</f>
        <v>ADULT</v>
      </c>
      <c r="H156" s="1" t="s">
        <v>29</v>
      </c>
      <c r="I156" s="1" t="s">
        <v>43</v>
      </c>
      <c r="J156" s="1" t="s">
        <v>23</v>
      </c>
      <c r="K156" s="1" t="s">
        <v>31</v>
      </c>
      <c r="L156" s="1">
        <v>41958</v>
      </c>
      <c r="M156" s="3">
        <f t="shared" si="6"/>
        <v>5.8606225272891936E-2</v>
      </c>
      <c r="N156" s="1">
        <v>2459</v>
      </c>
      <c r="O156" s="4">
        <f t="shared" si="7"/>
        <v>6.0122249388753053</v>
      </c>
      <c r="P156" s="1">
        <v>409</v>
      </c>
      <c r="Q156" s="1">
        <v>2950.4341435853398</v>
      </c>
      <c r="R156" s="1">
        <v>2677.1036306956398</v>
      </c>
      <c r="S156" s="5">
        <f t="shared" si="8"/>
        <v>2676.1036306956398</v>
      </c>
      <c r="T156" s="1">
        <v>841</v>
      </c>
      <c r="U156" s="1">
        <v>94</v>
      </c>
      <c r="V156" s="1">
        <v>75</v>
      </c>
      <c r="W156" s="1">
        <v>3957</v>
      </c>
      <c r="X156" s="1">
        <v>0.86310429700000002</v>
      </c>
    </row>
    <row r="157" spans="1:24" x14ac:dyDescent="0.3">
      <c r="A157" s="2">
        <v>45346</v>
      </c>
      <c r="B157" s="1" t="s">
        <v>25</v>
      </c>
      <c r="C157" s="1" t="s">
        <v>18</v>
      </c>
      <c r="D157" s="1" t="s">
        <v>32</v>
      </c>
      <c r="E157" s="1" t="s">
        <v>20</v>
      </c>
      <c r="F157" s="1">
        <v>42</v>
      </c>
      <c r="G157" s="1" t="str" cm="1">
        <f t="array" ref="G157">_xlfn.IFS(F157&lt;=25,"YOUTH",F157&lt;=48,"ADULT",TRUE,"SENIOR")</f>
        <v>ADULT</v>
      </c>
      <c r="H157" s="1" t="s">
        <v>21</v>
      </c>
      <c r="I157" s="1" t="s">
        <v>22</v>
      </c>
      <c r="J157" s="1" t="s">
        <v>30</v>
      </c>
      <c r="K157" s="1" t="s">
        <v>31</v>
      </c>
      <c r="L157" s="1">
        <v>31160</v>
      </c>
      <c r="M157" s="3">
        <f t="shared" si="6"/>
        <v>0.10532734274711168</v>
      </c>
      <c r="N157" s="1">
        <v>3282</v>
      </c>
      <c r="O157" s="4">
        <f t="shared" si="7"/>
        <v>4.7223021582733811</v>
      </c>
      <c r="P157" s="1">
        <v>695</v>
      </c>
      <c r="Q157" s="1">
        <v>2902.3461516525999</v>
      </c>
      <c r="R157" s="1">
        <v>21405.496166098899</v>
      </c>
      <c r="S157" s="5">
        <f t="shared" si="8"/>
        <v>21404.496166098899</v>
      </c>
      <c r="T157" s="1">
        <v>602</v>
      </c>
      <c r="U157" s="1">
        <v>38</v>
      </c>
      <c r="V157" s="1">
        <v>50</v>
      </c>
      <c r="W157" s="1">
        <v>2238</v>
      </c>
      <c r="X157" s="1">
        <v>0.66141702099999999</v>
      </c>
    </row>
    <row r="158" spans="1:24" x14ac:dyDescent="0.3">
      <c r="A158" s="2">
        <v>45340</v>
      </c>
      <c r="B158" s="1" t="s">
        <v>17</v>
      </c>
      <c r="C158" s="1" t="s">
        <v>18</v>
      </c>
      <c r="D158" s="1" t="s">
        <v>19</v>
      </c>
      <c r="E158" s="1" t="s">
        <v>28</v>
      </c>
      <c r="F158" s="1">
        <v>56</v>
      </c>
      <c r="G158" s="1" t="str" cm="1">
        <f t="array" ref="G158">_xlfn.IFS(F158&lt;=25,"YOUTH",F158&lt;=48,"ADULT",TRUE,"SENIOR")</f>
        <v>SENIOR</v>
      </c>
      <c r="H158" s="1" t="s">
        <v>29</v>
      </c>
      <c r="I158" s="1" t="s">
        <v>37</v>
      </c>
      <c r="J158" s="1" t="s">
        <v>23</v>
      </c>
      <c r="K158" s="1" t="s">
        <v>39</v>
      </c>
      <c r="L158" s="1">
        <v>21707</v>
      </c>
      <c r="M158" s="3">
        <f t="shared" si="6"/>
        <v>6.2191919657253424E-2</v>
      </c>
      <c r="N158" s="1">
        <v>1350</v>
      </c>
      <c r="O158" s="4">
        <f t="shared" si="7"/>
        <v>4.9090909090909092</v>
      </c>
      <c r="P158" s="1">
        <v>275</v>
      </c>
      <c r="Q158" s="1">
        <v>2700.0386347612698</v>
      </c>
      <c r="R158" s="1">
        <v>6797.73777709972</v>
      </c>
      <c r="S158" s="5">
        <f t="shared" si="8"/>
        <v>6796.73777709972</v>
      </c>
      <c r="T158" s="1">
        <v>357</v>
      </c>
      <c r="U158" s="1">
        <v>19</v>
      </c>
      <c r="V158" s="1">
        <v>26</v>
      </c>
      <c r="W158" s="1">
        <v>450</v>
      </c>
      <c r="X158" s="1">
        <v>0.795059650650633</v>
      </c>
    </row>
    <row r="159" spans="1:24" x14ac:dyDescent="0.3">
      <c r="A159" s="2">
        <v>45300</v>
      </c>
      <c r="B159" s="1" t="s">
        <v>25</v>
      </c>
      <c r="C159" s="1" t="s">
        <v>41</v>
      </c>
      <c r="D159" s="1" t="s">
        <v>19</v>
      </c>
      <c r="E159" s="1" t="s">
        <v>20</v>
      </c>
      <c r="F159" s="1">
        <v>50</v>
      </c>
      <c r="G159" s="1" t="str" cm="1">
        <f t="array" ref="G159">_xlfn.IFS(F159&lt;=25,"YOUTH",F159&lt;=48,"ADULT",TRUE,"SENIOR")</f>
        <v>SENIOR</v>
      </c>
      <c r="H159" s="1" t="s">
        <v>29</v>
      </c>
      <c r="I159" s="1" t="s">
        <v>22</v>
      </c>
      <c r="J159" s="1" t="s">
        <v>23</v>
      </c>
      <c r="K159" s="1" t="s">
        <v>39</v>
      </c>
      <c r="L159" s="1">
        <v>16248</v>
      </c>
      <c r="M159" s="3">
        <f t="shared" si="6"/>
        <v>3.0342195962580011E-2</v>
      </c>
      <c r="N159" s="1">
        <v>493</v>
      </c>
      <c r="O159" s="4">
        <f t="shared" si="7"/>
        <v>10.061224489795919</v>
      </c>
      <c r="P159" s="1">
        <v>49</v>
      </c>
      <c r="Q159" s="1">
        <v>1227.16641738165</v>
      </c>
      <c r="R159" s="1">
        <v>2520.1992571560199</v>
      </c>
      <c r="S159" s="5">
        <f t="shared" si="8"/>
        <v>2519.1992571560199</v>
      </c>
      <c r="T159" s="1">
        <v>193</v>
      </c>
      <c r="U159" s="1">
        <v>23</v>
      </c>
      <c r="V159" s="1">
        <v>13</v>
      </c>
      <c r="W159" s="1">
        <v>2734</v>
      </c>
      <c r="X159" s="1">
        <v>0.58528508000000001</v>
      </c>
    </row>
    <row r="160" spans="1:24" x14ac:dyDescent="0.3">
      <c r="A160" s="2">
        <v>45349</v>
      </c>
      <c r="B160" s="1" t="s">
        <v>17</v>
      </c>
      <c r="C160" s="1" t="s">
        <v>18</v>
      </c>
      <c r="D160" s="1" t="s">
        <v>32</v>
      </c>
      <c r="E160" s="1" t="s">
        <v>28</v>
      </c>
      <c r="F160" s="1">
        <v>18</v>
      </c>
      <c r="G160" s="1" t="str" cm="1">
        <f t="array" ref="G160">_xlfn.IFS(F160&lt;=25,"YOUTH",F160&lt;=48,"ADULT",TRUE,"SENIOR")</f>
        <v>YOUTH</v>
      </c>
      <c r="H160" s="1" t="s">
        <v>42</v>
      </c>
      <c r="I160" s="1" t="s">
        <v>43</v>
      </c>
      <c r="J160" s="1" t="s">
        <v>23</v>
      </c>
      <c r="K160" s="1" t="s">
        <v>39</v>
      </c>
      <c r="L160" s="1">
        <v>6773</v>
      </c>
      <c r="M160" s="3">
        <f t="shared" si="6"/>
        <v>6.6735567695260595E-2</v>
      </c>
      <c r="N160" s="1">
        <v>452</v>
      </c>
      <c r="O160" s="4">
        <f t="shared" si="7"/>
        <v>12.555555555555555</v>
      </c>
      <c r="P160" s="1">
        <v>36</v>
      </c>
      <c r="Q160" s="1">
        <v>341.09122117814798</v>
      </c>
      <c r="R160" s="1">
        <v>310.054094698168</v>
      </c>
      <c r="S160" s="5">
        <f t="shared" si="8"/>
        <v>309.054094698168</v>
      </c>
      <c r="T160" s="1">
        <v>112</v>
      </c>
      <c r="U160" s="1">
        <v>15</v>
      </c>
      <c r="V160" s="1">
        <v>2</v>
      </c>
      <c r="W160" s="1">
        <v>125</v>
      </c>
      <c r="X160" s="1">
        <v>0.74364377175329299</v>
      </c>
    </row>
    <row r="161" spans="1:24" x14ac:dyDescent="0.3">
      <c r="A161" s="2">
        <v>45336</v>
      </c>
      <c r="B161" s="1" t="s">
        <v>34</v>
      </c>
      <c r="C161" s="1" t="s">
        <v>41</v>
      </c>
      <c r="D161" s="1" t="s">
        <v>19</v>
      </c>
      <c r="E161" s="1" t="s">
        <v>28</v>
      </c>
      <c r="F161" s="1">
        <v>44</v>
      </c>
      <c r="G161" s="1" t="str" cm="1">
        <f t="array" ref="G161">_xlfn.IFS(F161&lt;=25,"YOUTH",F161&lt;=48,"ADULT",TRUE,"SENIOR")</f>
        <v>ADULT</v>
      </c>
      <c r="H161" s="1" t="s">
        <v>21</v>
      </c>
      <c r="I161" s="1" t="s">
        <v>33</v>
      </c>
      <c r="J161" s="1" t="s">
        <v>23</v>
      </c>
      <c r="K161" s="1" t="s">
        <v>31</v>
      </c>
      <c r="L161" s="1">
        <v>13786</v>
      </c>
      <c r="M161" s="3">
        <f t="shared" si="6"/>
        <v>2.5750761642245757E-2</v>
      </c>
      <c r="N161" s="1">
        <v>355</v>
      </c>
      <c r="O161" s="4">
        <f t="shared" si="7"/>
        <v>8.4523809523809526</v>
      </c>
      <c r="P161" s="1">
        <v>42</v>
      </c>
      <c r="Q161" s="1">
        <v>2058.0891557371001</v>
      </c>
      <c r="R161" s="1">
        <v>1544.23636430799</v>
      </c>
      <c r="S161" s="5">
        <f t="shared" si="8"/>
        <v>1543.23636430799</v>
      </c>
      <c r="T161" s="1">
        <v>224</v>
      </c>
      <c r="U161" s="1">
        <v>13</v>
      </c>
      <c r="V161" s="1">
        <v>20</v>
      </c>
      <c r="W161" s="1">
        <v>1848</v>
      </c>
      <c r="X161" s="1">
        <v>0.67410429499800495</v>
      </c>
    </row>
    <row r="162" spans="1:24" x14ac:dyDescent="0.3">
      <c r="A162" s="2">
        <v>45313</v>
      </c>
      <c r="B162" s="1" t="s">
        <v>40</v>
      </c>
      <c r="C162" s="1" t="s">
        <v>35</v>
      </c>
      <c r="D162" s="1" t="s">
        <v>19</v>
      </c>
      <c r="E162" s="1" t="s">
        <v>28</v>
      </c>
      <c r="F162" s="1">
        <v>30</v>
      </c>
      <c r="G162" s="1" t="str" cm="1">
        <f t="array" ref="G162">_xlfn.IFS(F162&lt;=25,"YOUTH",F162&lt;=48,"ADULT",TRUE,"SENIOR")</f>
        <v>ADULT</v>
      </c>
      <c r="H162" s="1" t="s">
        <v>21</v>
      </c>
      <c r="I162" s="1" t="s">
        <v>22</v>
      </c>
      <c r="J162" s="1" t="s">
        <v>23</v>
      </c>
      <c r="K162" s="1" t="s">
        <v>39</v>
      </c>
      <c r="L162" s="1">
        <v>16037</v>
      </c>
      <c r="M162" s="3">
        <f t="shared" si="6"/>
        <v>9.0727692211760302E-2</v>
      </c>
      <c r="N162" s="1">
        <v>1455</v>
      </c>
      <c r="O162" s="4">
        <f t="shared" si="7"/>
        <v>7.8648648648648649</v>
      </c>
      <c r="P162" s="1">
        <v>185</v>
      </c>
      <c r="Q162" s="1">
        <v>2315.00848932483</v>
      </c>
      <c r="R162" s="1">
        <v>7888.8490952541497</v>
      </c>
      <c r="S162" s="5">
        <f t="shared" si="8"/>
        <v>7887.8490952541497</v>
      </c>
      <c r="T162" s="1">
        <v>314</v>
      </c>
      <c r="U162" s="1">
        <v>29</v>
      </c>
      <c r="V162" s="1">
        <v>16</v>
      </c>
      <c r="W162" s="1">
        <v>1117</v>
      </c>
      <c r="X162" s="1">
        <v>0.60191284109348497</v>
      </c>
    </row>
    <row r="163" spans="1:24" x14ac:dyDescent="0.3">
      <c r="A163" s="2">
        <v>45323</v>
      </c>
      <c r="B163" s="1" t="s">
        <v>34</v>
      </c>
      <c r="C163" s="1" t="s">
        <v>41</v>
      </c>
      <c r="D163" s="1" t="s">
        <v>19</v>
      </c>
      <c r="E163" s="1" t="s">
        <v>28</v>
      </c>
      <c r="F163" s="1">
        <v>58</v>
      </c>
      <c r="G163" s="1" t="str" cm="1">
        <f t="array" ref="G163">_xlfn.IFS(F163&lt;=25,"YOUTH",F163&lt;=48,"ADULT",TRUE,"SENIOR")</f>
        <v>SENIOR</v>
      </c>
      <c r="H163" s="1" t="s">
        <v>21</v>
      </c>
      <c r="I163" s="1" t="s">
        <v>22</v>
      </c>
      <c r="J163" s="1" t="s">
        <v>30</v>
      </c>
      <c r="K163" s="1" t="s">
        <v>39</v>
      </c>
      <c r="L163" s="1">
        <v>2885</v>
      </c>
      <c r="M163" s="3">
        <f t="shared" si="6"/>
        <v>1.5597920277296361E-2</v>
      </c>
      <c r="N163" s="1">
        <v>45</v>
      </c>
      <c r="O163" s="4">
        <f t="shared" si="7"/>
        <v>15</v>
      </c>
      <c r="P163" s="1">
        <v>3</v>
      </c>
      <c r="Q163" s="1">
        <v>374.04686238052398</v>
      </c>
      <c r="R163" s="1">
        <v>135.37175983026</v>
      </c>
      <c r="S163" s="5">
        <f t="shared" si="8"/>
        <v>134.37175983026</v>
      </c>
      <c r="T163" s="1">
        <v>34</v>
      </c>
      <c r="U163" s="1">
        <v>3</v>
      </c>
      <c r="V163" s="1">
        <v>2</v>
      </c>
      <c r="W163" s="1">
        <v>134</v>
      </c>
      <c r="X163" s="1">
        <v>0.88485594358740005</v>
      </c>
    </row>
    <row r="164" spans="1:24" x14ac:dyDescent="0.3">
      <c r="A164" s="2">
        <v>45296</v>
      </c>
      <c r="B164" s="1" t="s">
        <v>17</v>
      </c>
      <c r="C164" s="1" t="s">
        <v>18</v>
      </c>
      <c r="D164" s="1" t="s">
        <v>19</v>
      </c>
      <c r="E164" s="1" t="s">
        <v>20</v>
      </c>
      <c r="F164" s="1">
        <v>20</v>
      </c>
      <c r="G164" s="1" t="str" cm="1">
        <f t="array" ref="G164">_xlfn.IFS(F164&lt;=25,"YOUTH",F164&lt;=48,"ADULT",TRUE,"SENIOR")</f>
        <v>YOUTH</v>
      </c>
      <c r="H164" s="1" t="s">
        <v>21</v>
      </c>
      <c r="I164" s="1" t="s">
        <v>33</v>
      </c>
      <c r="J164" s="1" t="s">
        <v>38</v>
      </c>
      <c r="K164" s="1" t="s">
        <v>24</v>
      </c>
      <c r="L164" s="1">
        <v>40828</v>
      </c>
      <c r="M164" s="3">
        <f t="shared" si="6"/>
        <v>8.3815028901734104E-2</v>
      </c>
      <c r="N164" s="1">
        <v>3422</v>
      </c>
      <c r="O164" s="4">
        <f t="shared" si="7"/>
        <v>4.4326424870466319</v>
      </c>
      <c r="P164" s="1">
        <v>772</v>
      </c>
      <c r="Q164" s="1">
        <v>4470.2007371838899</v>
      </c>
      <c r="R164" s="1">
        <v>24190.811981809999</v>
      </c>
      <c r="S164" s="5">
        <f t="shared" si="8"/>
        <v>24189.811981809999</v>
      </c>
      <c r="T164" s="1">
        <v>283</v>
      </c>
      <c r="U164" s="1">
        <v>38</v>
      </c>
      <c r="V164" s="1">
        <v>6</v>
      </c>
      <c r="W164" s="1">
        <v>5583</v>
      </c>
      <c r="X164" s="1">
        <v>0.46199142599999998</v>
      </c>
    </row>
    <row r="165" spans="1:24" x14ac:dyDescent="0.3">
      <c r="A165" s="2">
        <v>45314</v>
      </c>
      <c r="B165" s="1" t="s">
        <v>40</v>
      </c>
      <c r="C165" s="1" t="s">
        <v>35</v>
      </c>
      <c r="D165" s="1" t="s">
        <v>19</v>
      </c>
      <c r="E165" s="1" t="s">
        <v>20</v>
      </c>
      <c r="F165" s="1">
        <v>56</v>
      </c>
      <c r="G165" s="1" t="str" cm="1">
        <f t="array" ref="G165">_xlfn.IFS(F165&lt;=25,"YOUTH",F165&lt;=48,"ADULT",TRUE,"SENIOR")</f>
        <v>SENIOR</v>
      </c>
      <c r="H165" s="1" t="s">
        <v>21</v>
      </c>
      <c r="I165" s="1" t="s">
        <v>22</v>
      </c>
      <c r="J165" s="1" t="s">
        <v>30</v>
      </c>
      <c r="K165" s="1" t="s">
        <v>31</v>
      </c>
      <c r="L165" s="1">
        <v>17331</v>
      </c>
      <c r="M165" s="3">
        <f t="shared" si="6"/>
        <v>0.13403727424845652</v>
      </c>
      <c r="N165" s="1">
        <v>2323</v>
      </c>
      <c r="O165" s="4">
        <f t="shared" si="7"/>
        <v>6.9136904761904763</v>
      </c>
      <c r="P165" s="1">
        <v>336</v>
      </c>
      <c r="Q165" s="1">
        <v>1010.96110600986</v>
      </c>
      <c r="R165" s="1">
        <v>8327.3923901013895</v>
      </c>
      <c r="S165" s="5">
        <f t="shared" si="8"/>
        <v>8326.3923901013895</v>
      </c>
      <c r="T165" s="1">
        <v>149</v>
      </c>
      <c r="U165" s="1">
        <v>13</v>
      </c>
      <c r="V165" s="1">
        <v>14</v>
      </c>
      <c r="W165" s="1">
        <v>2065</v>
      </c>
      <c r="X165" s="1">
        <v>0.66780773157550999</v>
      </c>
    </row>
    <row r="166" spans="1:24" x14ac:dyDescent="0.3">
      <c r="A166" s="2">
        <v>45296</v>
      </c>
      <c r="B166" s="1" t="s">
        <v>25</v>
      </c>
      <c r="C166" s="1" t="s">
        <v>35</v>
      </c>
      <c r="D166" s="1" t="s">
        <v>27</v>
      </c>
      <c r="E166" s="1" t="s">
        <v>20</v>
      </c>
      <c r="F166" s="1">
        <v>23</v>
      </c>
      <c r="G166" s="1" t="str" cm="1">
        <f t="array" ref="G166">_xlfn.IFS(F166&lt;=25,"YOUTH",F166&lt;=48,"ADULT",TRUE,"SENIOR")</f>
        <v>YOUTH</v>
      </c>
      <c r="H166" s="1" t="s">
        <v>21</v>
      </c>
      <c r="I166" s="1" t="s">
        <v>33</v>
      </c>
      <c r="J166" s="1" t="s">
        <v>23</v>
      </c>
      <c r="K166" s="1" t="s">
        <v>31</v>
      </c>
      <c r="L166" s="1">
        <v>41612</v>
      </c>
      <c r="M166" s="3">
        <f t="shared" si="6"/>
        <v>0.1272950110545035</v>
      </c>
      <c r="N166" s="1">
        <v>5297</v>
      </c>
      <c r="O166" s="4">
        <f t="shared" si="7"/>
        <v>4.084040092521203</v>
      </c>
      <c r="P166" s="1">
        <v>1297</v>
      </c>
      <c r="Q166" s="1">
        <v>5773.40209377462</v>
      </c>
      <c r="R166" s="1">
        <v>64022.575209210299</v>
      </c>
      <c r="S166" s="5">
        <f t="shared" si="8"/>
        <v>64021.575209210299</v>
      </c>
      <c r="T166" s="1">
        <v>935</v>
      </c>
      <c r="U166" s="1">
        <v>60</v>
      </c>
      <c r="V166" s="1">
        <v>86</v>
      </c>
      <c r="W166" s="1">
        <v>2908</v>
      </c>
      <c r="X166" s="1">
        <v>0.50690299029637498</v>
      </c>
    </row>
    <row r="167" spans="1:24" x14ac:dyDescent="0.3">
      <c r="A167" s="2">
        <v>45333</v>
      </c>
      <c r="B167" s="1" t="s">
        <v>17</v>
      </c>
      <c r="C167" s="1" t="s">
        <v>26</v>
      </c>
      <c r="D167" s="1" t="s">
        <v>19</v>
      </c>
      <c r="E167" s="1" t="s">
        <v>20</v>
      </c>
      <c r="F167" s="1">
        <v>25</v>
      </c>
      <c r="G167" s="1" t="str" cm="1">
        <f t="array" ref="G167">_xlfn.IFS(F167&lt;=25,"YOUTH",F167&lt;=48,"ADULT",TRUE,"SENIOR")</f>
        <v>YOUTH</v>
      </c>
      <c r="H167" s="1" t="s">
        <v>29</v>
      </c>
      <c r="I167" s="1" t="s">
        <v>37</v>
      </c>
      <c r="J167" s="1" t="s">
        <v>23</v>
      </c>
      <c r="K167" s="1" t="s">
        <v>39</v>
      </c>
      <c r="L167" s="1">
        <v>23495</v>
      </c>
      <c r="M167" s="3">
        <f t="shared" si="6"/>
        <v>0.13356033198552883</v>
      </c>
      <c r="N167" s="1">
        <v>3138</v>
      </c>
      <c r="O167" s="4">
        <f t="shared" si="7"/>
        <v>4.8500772797527052</v>
      </c>
      <c r="P167" s="1">
        <v>647</v>
      </c>
      <c r="Q167" s="1">
        <v>1311.5465153847699</v>
      </c>
      <c r="R167" s="1">
        <v>38879.516317950402</v>
      </c>
      <c r="S167" s="5">
        <f t="shared" si="8"/>
        <v>38878.516317950402</v>
      </c>
      <c r="T167" s="1">
        <v>130</v>
      </c>
      <c r="U167" s="1">
        <v>9</v>
      </c>
      <c r="V167" s="1">
        <v>8</v>
      </c>
      <c r="W167" s="1">
        <v>2524</v>
      </c>
      <c r="X167" s="1">
        <v>0.87358030016967503</v>
      </c>
    </row>
    <row r="168" spans="1:24" x14ac:dyDescent="0.3">
      <c r="A168" s="2">
        <v>45344</v>
      </c>
      <c r="B168" s="1" t="s">
        <v>40</v>
      </c>
      <c r="C168" s="1" t="s">
        <v>26</v>
      </c>
      <c r="D168" s="1" t="s">
        <v>36</v>
      </c>
      <c r="E168" s="1" t="s">
        <v>28</v>
      </c>
      <c r="F168" s="1">
        <v>44</v>
      </c>
      <c r="G168" s="1" t="str" cm="1">
        <f t="array" ref="G168">_xlfn.IFS(F168&lt;=25,"YOUTH",F168&lt;=48,"ADULT",TRUE,"SENIOR")</f>
        <v>ADULT</v>
      </c>
      <c r="H168" s="1" t="s">
        <v>29</v>
      </c>
      <c r="I168" s="1" t="s">
        <v>33</v>
      </c>
      <c r="J168" s="1" t="s">
        <v>23</v>
      </c>
      <c r="K168" s="1" t="s">
        <v>39</v>
      </c>
      <c r="L168" s="1">
        <v>14450</v>
      </c>
      <c r="M168" s="3">
        <f t="shared" si="6"/>
        <v>0.13903114186851212</v>
      </c>
      <c r="N168" s="1">
        <v>2009</v>
      </c>
      <c r="O168" s="4">
        <f t="shared" si="7"/>
        <v>6.7871621621621623</v>
      </c>
      <c r="P168" s="1">
        <v>296</v>
      </c>
      <c r="Q168" s="1">
        <v>1793.32063575042</v>
      </c>
      <c r="R168" s="1">
        <v>14825.2033509425</v>
      </c>
      <c r="S168" s="5">
        <f t="shared" si="8"/>
        <v>14824.2033509425</v>
      </c>
      <c r="T168" s="1">
        <v>381</v>
      </c>
      <c r="U168" s="1">
        <v>28</v>
      </c>
      <c r="V168" s="1">
        <v>25</v>
      </c>
      <c r="W168" s="1">
        <v>820</v>
      </c>
      <c r="X168" s="1">
        <v>0.539408139593614</v>
      </c>
    </row>
    <row r="169" spans="1:24" x14ac:dyDescent="0.3">
      <c r="A169" s="2">
        <v>45323</v>
      </c>
      <c r="B169" s="1" t="s">
        <v>25</v>
      </c>
      <c r="C169" s="1" t="s">
        <v>18</v>
      </c>
      <c r="D169" s="1" t="s">
        <v>32</v>
      </c>
      <c r="E169" s="1" t="s">
        <v>20</v>
      </c>
      <c r="F169" s="1">
        <v>26</v>
      </c>
      <c r="G169" s="1" t="str" cm="1">
        <f t="array" ref="G169">_xlfn.IFS(F169&lt;=25,"YOUTH",F169&lt;=48,"ADULT",TRUE,"SENIOR")</f>
        <v>ADULT</v>
      </c>
      <c r="H169" s="1" t="s">
        <v>21</v>
      </c>
      <c r="I169" s="1" t="s">
        <v>37</v>
      </c>
      <c r="J169" s="1" t="s">
        <v>23</v>
      </c>
      <c r="K169" s="1" t="s">
        <v>31</v>
      </c>
      <c r="L169" s="1">
        <v>10491</v>
      </c>
      <c r="M169" s="3">
        <f t="shared" si="6"/>
        <v>2.4592507863883329E-2</v>
      </c>
      <c r="N169" s="1">
        <v>258</v>
      </c>
      <c r="O169" s="4">
        <f t="shared" si="7"/>
        <v>4.2295081967213113</v>
      </c>
      <c r="P169" s="1">
        <v>61</v>
      </c>
      <c r="Q169" s="1">
        <v>1462.16803718339</v>
      </c>
      <c r="R169" s="1">
        <v>4000.78587903788</v>
      </c>
      <c r="S169" s="5">
        <f t="shared" si="8"/>
        <v>3999.78587903788</v>
      </c>
      <c r="T169" s="1">
        <v>234</v>
      </c>
      <c r="U169" s="1">
        <v>41</v>
      </c>
      <c r="V169" s="1">
        <v>17</v>
      </c>
      <c r="W169" s="1">
        <v>1826</v>
      </c>
      <c r="X169" s="1">
        <v>0.74838668706150102</v>
      </c>
    </row>
    <row r="170" spans="1:24" x14ac:dyDescent="0.3">
      <c r="A170" s="2">
        <v>45350</v>
      </c>
      <c r="B170" s="1" t="s">
        <v>25</v>
      </c>
      <c r="C170" s="1" t="s">
        <v>41</v>
      </c>
      <c r="D170" s="1" t="s">
        <v>27</v>
      </c>
      <c r="E170" s="1" t="s">
        <v>28</v>
      </c>
      <c r="F170" s="1">
        <v>54</v>
      </c>
      <c r="G170" s="1" t="str" cm="1">
        <f t="array" ref="G170">_xlfn.IFS(F170&lt;=25,"YOUTH",F170&lt;=48,"ADULT",TRUE,"SENIOR")</f>
        <v>SENIOR</v>
      </c>
      <c r="H170" s="1" t="s">
        <v>21</v>
      </c>
      <c r="I170" s="1" t="s">
        <v>33</v>
      </c>
      <c r="J170" s="1" t="s">
        <v>38</v>
      </c>
      <c r="K170" s="1" t="s">
        <v>31</v>
      </c>
      <c r="L170" s="1">
        <v>10268</v>
      </c>
      <c r="M170" s="3">
        <f t="shared" si="6"/>
        <v>2.7950915465523959E-2</v>
      </c>
      <c r="N170" s="1">
        <v>287</v>
      </c>
      <c r="O170" s="4">
        <f t="shared" si="7"/>
        <v>7.3589743589743586</v>
      </c>
      <c r="P170" s="1">
        <v>39</v>
      </c>
      <c r="Q170" s="1">
        <v>1010.27364635946</v>
      </c>
      <c r="R170" s="1">
        <v>2013.2630367823399</v>
      </c>
      <c r="S170" s="5">
        <f t="shared" si="8"/>
        <v>2012.2630367823399</v>
      </c>
      <c r="T170" s="1">
        <v>248</v>
      </c>
      <c r="U170" s="1">
        <v>22</v>
      </c>
      <c r="V170" s="1">
        <v>10</v>
      </c>
      <c r="W170" s="1">
        <v>714</v>
      </c>
      <c r="X170" s="1">
        <v>0.49105993329694397</v>
      </c>
    </row>
    <row r="171" spans="1:24" x14ac:dyDescent="0.3">
      <c r="A171" s="2">
        <v>45301</v>
      </c>
      <c r="B171" s="1" t="s">
        <v>34</v>
      </c>
      <c r="C171" s="1" t="s">
        <v>41</v>
      </c>
      <c r="D171" s="1" t="s">
        <v>27</v>
      </c>
      <c r="E171" s="1" t="s">
        <v>28</v>
      </c>
      <c r="F171" s="1">
        <v>50</v>
      </c>
      <c r="G171" s="1" t="str" cm="1">
        <f t="array" ref="G171">_xlfn.IFS(F171&lt;=25,"YOUTH",F171&lt;=48,"ADULT",TRUE,"SENIOR")</f>
        <v>SENIOR</v>
      </c>
      <c r="H171" s="1" t="s">
        <v>29</v>
      </c>
      <c r="I171" s="1" t="s">
        <v>43</v>
      </c>
      <c r="J171" s="1" t="s">
        <v>23</v>
      </c>
      <c r="K171" s="1" t="s">
        <v>31</v>
      </c>
      <c r="L171" s="1">
        <v>28757</v>
      </c>
      <c r="M171" s="3">
        <f t="shared" si="6"/>
        <v>8.7978579128559997E-2</v>
      </c>
      <c r="N171" s="1">
        <v>2530</v>
      </c>
      <c r="O171" s="4">
        <f t="shared" si="7"/>
        <v>4.4699646643109539</v>
      </c>
      <c r="P171" s="1">
        <v>566</v>
      </c>
      <c r="Q171" s="1">
        <v>3577.2933955265598</v>
      </c>
      <c r="R171" s="1">
        <v>30960.323224361</v>
      </c>
      <c r="S171" s="5">
        <f t="shared" si="8"/>
        <v>30959.323224361</v>
      </c>
      <c r="T171" s="1">
        <v>744</v>
      </c>
      <c r="U171" s="1">
        <v>116</v>
      </c>
      <c r="V171" s="1">
        <v>28</v>
      </c>
      <c r="W171" s="1">
        <v>1627</v>
      </c>
      <c r="X171" s="1">
        <v>0.62270251820896005</v>
      </c>
    </row>
    <row r="172" spans="1:24" x14ac:dyDescent="0.3">
      <c r="A172" s="2">
        <v>45350</v>
      </c>
      <c r="B172" s="1" t="s">
        <v>17</v>
      </c>
      <c r="C172" s="1" t="s">
        <v>18</v>
      </c>
      <c r="D172" s="1" t="s">
        <v>19</v>
      </c>
      <c r="E172" s="1" t="s">
        <v>20</v>
      </c>
      <c r="F172" s="1">
        <v>59</v>
      </c>
      <c r="G172" s="1" t="str" cm="1">
        <f t="array" ref="G172">_xlfn.IFS(F172&lt;=25,"YOUTH",F172&lt;=48,"ADULT",TRUE,"SENIOR")</f>
        <v>SENIOR</v>
      </c>
      <c r="H172" s="1" t="s">
        <v>29</v>
      </c>
      <c r="I172" s="1" t="s">
        <v>43</v>
      </c>
      <c r="J172" s="1" t="s">
        <v>38</v>
      </c>
      <c r="K172" s="1" t="s">
        <v>24</v>
      </c>
      <c r="L172" s="1">
        <v>42907</v>
      </c>
      <c r="M172" s="3">
        <f t="shared" si="6"/>
        <v>0.13515277227492017</v>
      </c>
      <c r="N172" s="1">
        <v>5799</v>
      </c>
      <c r="O172" s="4">
        <f t="shared" si="7"/>
        <v>9.7790893760539621</v>
      </c>
      <c r="P172" s="1">
        <v>593</v>
      </c>
      <c r="Q172" s="1">
        <v>5274.14401078841</v>
      </c>
      <c r="R172" s="1">
        <v>9436.8287130275094</v>
      </c>
      <c r="S172" s="5">
        <f t="shared" si="8"/>
        <v>9435.8287130275094</v>
      </c>
      <c r="T172" s="1">
        <v>346</v>
      </c>
      <c r="U172" s="1">
        <v>46</v>
      </c>
      <c r="V172" s="1">
        <v>25</v>
      </c>
      <c r="W172" s="1">
        <v>6558</v>
      </c>
      <c r="X172" s="1">
        <v>0.89464645760715</v>
      </c>
    </row>
    <row r="173" spans="1:24" x14ac:dyDescent="0.3">
      <c r="A173" s="2">
        <v>45330</v>
      </c>
      <c r="B173" s="1" t="s">
        <v>25</v>
      </c>
      <c r="C173" s="1" t="s">
        <v>35</v>
      </c>
      <c r="D173" s="1" t="s">
        <v>32</v>
      </c>
      <c r="E173" s="1" t="s">
        <v>28</v>
      </c>
      <c r="F173" s="1">
        <v>41</v>
      </c>
      <c r="G173" s="1" t="str" cm="1">
        <f t="array" ref="G173">_xlfn.IFS(F173&lt;=25,"YOUTH",F173&lt;=48,"ADULT",TRUE,"SENIOR")</f>
        <v>ADULT</v>
      </c>
      <c r="H173" s="1" t="s">
        <v>29</v>
      </c>
      <c r="I173" s="1" t="s">
        <v>37</v>
      </c>
      <c r="J173" s="1" t="s">
        <v>38</v>
      </c>
      <c r="K173" s="1" t="s">
        <v>31</v>
      </c>
      <c r="L173" s="1">
        <v>7791</v>
      </c>
      <c r="M173" s="3">
        <f t="shared" si="6"/>
        <v>0.14632268001540238</v>
      </c>
      <c r="N173" s="1">
        <v>1140</v>
      </c>
      <c r="O173" s="4">
        <f t="shared" si="7"/>
        <v>9.3442622950819665</v>
      </c>
      <c r="P173" s="1">
        <v>122</v>
      </c>
      <c r="Q173" s="1">
        <v>351.455965067862</v>
      </c>
      <c r="R173" s="1">
        <v>3936.9493810968202</v>
      </c>
      <c r="S173" s="5">
        <f t="shared" si="8"/>
        <v>3935.9493810968202</v>
      </c>
      <c r="T173" s="1">
        <v>199</v>
      </c>
      <c r="U173" s="1">
        <v>39</v>
      </c>
      <c r="V173" s="1">
        <v>5</v>
      </c>
      <c r="W173" s="1">
        <v>103</v>
      </c>
      <c r="X173" s="1">
        <v>0.49133544442106702</v>
      </c>
    </row>
    <row r="174" spans="1:24" x14ac:dyDescent="0.3">
      <c r="A174" s="2">
        <v>45349</v>
      </c>
      <c r="B174" s="1" t="s">
        <v>40</v>
      </c>
      <c r="C174" s="1" t="s">
        <v>18</v>
      </c>
      <c r="D174" s="1" t="s">
        <v>36</v>
      </c>
      <c r="E174" s="1" t="s">
        <v>20</v>
      </c>
      <c r="F174" s="1">
        <v>32</v>
      </c>
      <c r="G174" s="1" t="str" cm="1">
        <f t="array" ref="G174">_xlfn.IFS(F174&lt;=25,"YOUTH",F174&lt;=48,"ADULT",TRUE,"SENIOR")</f>
        <v>ADULT</v>
      </c>
      <c r="H174" s="1" t="s">
        <v>29</v>
      </c>
      <c r="I174" s="1" t="s">
        <v>37</v>
      </c>
      <c r="J174" s="1" t="s">
        <v>23</v>
      </c>
      <c r="K174" s="1" t="s">
        <v>24</v>
      </c>
      <c r="L174" s="1">
        <v>40939</v>
      </c>
      <c r="M174" s="3">
        <f t="shared" si="6"/>
        <v>1.6463518893964191E-2</v>
      </c>
      <c r="N174" s="1">
        <v>674</v>
      </c>
      <c r="O174" s="4">
        <f t="shared" si="7"/>
        <v>8.6410256410256405</v>
      </c>
      <c r="P174" s="1">
        <v>78</v>
      </c>
      <c r="Q174" s="1">
        <v>4373.5208031915099</v>
      </c>
      <c r="R174" s="1">
        <v>2849.23052794674</v>
      </c>
      <c r="S174" s="5">
        <f t="shared" si="8"/>
        <v>2848.23052794674</v>
      </c>
      <c r="T174" s="1">
        <v>721</v>
      </c>
      <c r="U174" s="1">
        <v>65</v>
      </c>
      <c r="V174" s="1">
        <v>40</v>
      </c>
      <c r="W174" s="1">
        <v>2494</v>
      </c>
      <c r="X174" s="1">
        <v>0.76475770394158604</v>
      </c>
    </row>
    <row r="175" spans="1:24" x14ac:dyDescent="0.3">
      <c r="A175" s="2">
        <v>45306</v>
      </c>
      <c r="B175" s="1" t="s">
        <v>25</v>
      </c>
      <c r="C175" s="1" t="s">
        <v>18</v>
      </c>
      <c r="D175" s="1" t="s">
        <v>19</v>
      </c>
      <c r="E175" s="1" t="s">
        <v>20</v>
      </c>
      <c r="F175" s="1">
        <v>49</v>
      </c>
      <c r="G175" s="1" t="str" cm="1">
        <f t="array" ref="G175">_xlfn.IFS(F175&lt;=25,"YOUTH",F175&lt;=48,"ADULT",TRUE,"SENIOR")</f>
        <v>SENIOR</v>
      </c>
      <c r="H175" s="1" t="s">
        <v>21</v>
      </c>
      <c r="I175" s="1" t="s">
        <v>43</v>
      </c>
      <c r="J175" s="1" t="s">
        <v>23</v>
      </c>
      <c r="K175" s="1" t="s">
        <v>39</v>
      </c>
      <c r="L175" s="1">
        <v>29314</v>
      </c>
      <c r="M175" s="3">
        <f t="shared" si="6"/>
        <v>5.9800777785358535E-2</v>
      </c>
      <c r="N175" s="1">
        <v>1753</v>
      </c>
      <c r="O175" s="4">
        <f t="shared" si="7"/>
        <v>6.8745098039215682</v>
      </c>
      <c r="P175" s="1">
        <v>255</v>
      </c>
      <c r="Q175" s="1">
        <v>942.46948331419105</v>
      </c>
      <c r="R175" s="1">
        <v>5523.0591650331198</v>
      </c>
      <c r="S175" s="5">
        <f t="shared" si="8"/>
        <v>5522.0591650331198</v>
      </c>
      <c r="T175" s="1">
        <v>795</v>
      </c>
      <c r="U175" s="1">
        <v>58</v>
      </c>
      <c r="V175" s="1">
        <v>47</v>
      </c>
      <c r="W175" s="1">
        <v>2383</v>
      </c>
      <c r="X175" s="1">
        <v>0.51248070380577504</v>
      </c>
    </row>
    <row r="176" spans="1:24" x14ac:dyDescent="0.3">
      <c r="A176" s="2">
        <v>45298</v>
      </c>
      <c r="B176" s="1" t="s">
        <v>25</v>
      </c>
      <c r="C176" s="1" t="s">
        <v>35</v>
      </c>
      <c r="D176" s="1" t="s">
        <v>32</v>
      </c>
      <c r="E176" s="1" t="s">
        <v>20</v>
      </c>
      <c r="F176" s="1">
        <v>49</v>
      </c>
      <c r="G176" s="1" t="str" cm="1">
        <f t="array" ref="G176">_xlfn.IFS(F176&lt;=25,"YOUTH",F176&lt;=48,"ADULT",TRUE,"SENIOR")</f>
        <v>SENIOR</v>
      </c>
      <c r="H176" s="1" t="s">
        <v>29</v>
      </c>
      <c r="I176" s="1" t="s">
        <v>37</v>
      </c>
      <c r="J176" s="1" t="s">
        <v>23</v>
      </c>
      <c r="K176" s="1" t="s">
        <v>24</v>
      </c>
      <c r="L176" s="1">
        <v>29583</v>
      </c>
      <c r="M176" s="3">
        <f t="shared" si="6"/>
        <v>3.9786363790014538E-2</v>
      </c>
      <c r="N176" s="1">
        <v>1177</v>
      </c>
      <c r="O176" s="4">
        <f t="shared" si="7"/>
        <v>6.803468208092486</v>
      </c>
      <c r="P176" s="1">
        <v>173</v>
      </c>
      <c r="Q176" s="1">
        <v>2544.7450019766902</v>
      </c>
      <c r="R176" s="1">
        <v>6808.4307297064497</v>
      </c>
      <c r="S176" s="5">
        <f t="shared" si="8"/>
        <v>6807.4307297064497</v>
      </c>
      <c r="T176" s="1">
        <v>803</v>
      </c>
      <c r="U176" s="1">
        <v>46</v>
      </c>
      <c r="V176" s="1">
        <v>40</v>
      </c>
      <c r="W176" s="1">
        <v>5254</v>
      </c>
      <c r="X176" s="1">
        <v>0.62866197889269104</v>
      </c>
    </row>
    <row r="177" spans="1:24" x14ac:dyDescent="0.3">
      <c r="A177" s="2">
        <v>45320</v>
      </c>
      <c r="B177" s="1" t="s">
        <v>34</v>
      </c>
      <c r="C177" s="1" t="s">
        <v>41</v>
      </c>
      <c r="D177" s="1" t="s">
        <v>19</v>
      </c>
      <c r="E177" s="1" t="s">
        <v>20</v>
      </c>
      <c r="F177" s="1">
        <v>41</v>
      </c>
      <c r="G177" s="1" t="str" cm="1">
        <f t="array" ref="G177">_xlfn.IFS(F177&lt;=25,"YOUTH",F177&lt;=48,"ADULT",TRUE,"SENIOR")</f>
        <v>ADULT</v>
      </c>
      <c r="H177" s="1" t="s">
        <v>21</v>
      </c>
      <c r="I177" s="1" t="s">
        <v>33</v>
      </c>
      <c r="J177" s="1" t="s">
        <v>23</v>
      </c>
      <c r="K177" s="1" t="s">
        <v>24</v>
      </c>
      <c r="L177" s="1">
        <v>22550</v>
      </c>
      <c r="M177" s="3">
        <f t="shared" si="6"/>
        <v>0.11583148558758315</v>
      </c>
      <c r="N177" s="1">
        <v>2612</v>
      </c>
      <c r="O177" s="4">
        <f t="shared" si="7"/>
        <v>7.4628571428571426</v>
      </c>
      <c r="P177" s="1">
        <v>350</v>
      </c>
      <c r="Q177" s="1">
        <v>926.59350940000002</v>
      </c>
      <c r="R177" s="1">
        <v>8365.5167310470297</v>
      </c>
      <c r="S177" s="5">
        <f t="shared" si="8"/>
        <v>8364.5167310470297</v>
      </c>
      <c r="T177" s="1">
        <v>126</v>
      </c>
      <c r="U177" s="1">
        <v>10</v>
      </c>
      <c r="V177" s="1">
        <v>4</v>
      </c>
      <c r="W177" s="1">
        <v>4297</v>
      </c>
      <c r="X177" s="1">
        <v>0.69733928640602905</v>
      </c>
    </row>
    <row r="178" spans="1:24" x14ac:dyDescent="0.3">
      <c r="A178" s="2">
        <v>45350</v>
      </c>
      <c r="B178" s="1" t="s">
        <v>34</v>
      </c>
      <c r="C178" s="1" t="s">
        <v>18</v>
      </c>
      <c r="D178" s="1" t="s">
        <v>19</v>
      </c>
      <c r="E178" s="1" t="s">
        <v>20</v>
      </c>
      <c r="F178" s="1">
        <v>58</v>
      </c>
      <c r="G178" s="1" t="str" cm="1">
        <f t="array" ref="G178">_xlfn.IFS(F178&lt;=25,"YOUTH",F178&lt;=48,"ADULT",TRUE,"SENIOR")</f>
        <v>SENIOR</v>
      </c>
      <c r="H178" s="1" t="s">
        <v>21</v>
      </c>
      <c r="I178" s="1" t="s">
        <v>33</v>
      </c>
      <c r="J178" s="1" t="s">
        <v>38</v>
      </c>
      <c r="K178" s="1" t="s">
        <v>31</v>
      </c>
      <c r="L178" s="1">
        <v>1093</v>
      </c>
      <c r="M178" s="3">
        <f t="shared" si="6"/>
        <v>9.8810612991765787E-2</v>
      </c>
      <c r="N178" s="1">
        <v>108</v>
      </c>
      <c r="O178" s="4">
        <f t="shared" si="7"/>
        <v>12</v>
      </c>
      <c r="P178" s="1">
        <v>9</v>
      </c>
      <c r="Q178" s="1">
        <v>81.019100283984898</v>
      </c>
      <c r="R178" s="1">
        <v>447.18872429058302</v>
      </c>
      <c r="S178" s="5">
        <f t="shared" si="8"/>
        <v>446.18872429058302</v>
      </c>
      <c r="T178" s="1">
        <v>15</v>
      </c>
      <c r="U178" s="1">
        <v>2</v>
      </c>
      <c r="V178" s="1">
        <v>0</v>
      </c>
      <c r="W178" s="1">
        <v>159</v>
      </c>
      <c r="X178" s="1">
        <v>0.71751853000436105</v>
      </c>
    </row>
    <row r="179" spans="1:24" x14ac:dyDescent="0.3">
      <c r="A179" s="2">
        <v>45338</v>
      </c>
      <c r="B179" s="1" t="s">
        <v>40</v>
      </c>
      <c r="C179" s="1" t="s">
        <v>41</v>
      </c>
      <c r="D179" s="1" t="s">
        <v>19</v>
      </c>
      <c r="E179" s="1" t="s">
        <v>28</v>
      </c>
      <c r="F179" s="1">
        <v>29</v>
      </c>
      <c r="G179" s="1" t="str" cm="1">
        <f t="array" ref="G179">_xlfn.IFS(F179&lt;=25,"YOUTH",F179&lt;=48,"ADULT",TRUE,"SENIOR")</f>
        <v>ADULT</v>
      </c>
      <c r="H179" s="1" t="s">
        <v>21</v>
      </c>
      <c r="I179" s="1" t="s">
        <v>43</v>
      </c>
      <c r="J179" s="1" t="s">
        <v>23</v>
      </c>
      <c r="K179" s="1" t="s">
        <v>24</v>
      </c>
      <c r="L179" s="1">
        <v>36755</v>
      </c>
      <c r="M179" s="3">
        <f t="shared" si="6"/>
        <v>2.6771867773092095E-2</v>
      </c>
      <c r="N179" s="1">
        <v>984</v>
      </c>
      <c r="O179" s="4">
        <f t="shared" si="7"/>
        <v>4.2969432314410483</v>
      </c>
      <c r="P179" s="1">
        <v>229</v>
      </c>
      <c r="Q179" s="1">
        <v>4715.2133000000003</v>
      </c>
      <c r="R179" s="1">
        <v>8145.2439757267703</v>
      </c>
      <c r="S179" s="5">
        <f t="shared" si="8"/>
        <v>8144.2439757267703</v>
      </c>
      <c r="T179" s="1">
        <v>667</v>
      </c>
      <c r="U179" s="1">
        <v>41</v>
      </c>
      <c r="V179" s="1">
        <v>31</v>
      </c>
      <c r="W179" s="1">
        <v>3807</v>
      </c>
      <c r="X179" s="1">
        <v>0.73138123565423496</v>
      </c>
    </row>
    <row r="180" spans="1:24" x14ac:dyDescent="0.3">
      <c r="A180" s="2">
        <v>45294</v>
      </c>
      <c r="B180" s="1" t="s">
        <v>34</v>
      </c>
      <c r="C180" s="1" t="s">
        <v>18</v>
      </c>
      <c r="D180" s="1" t="s">
        <v>19</v>
      </c>
      <c r="E180" s="1" t="s">
        <v>20</v>
      </c>
      <c r="F180" s="1">
        <v>56</v>
      </c>
      <c r="G180" s="1" t="str" cm="1">
        <f t="array" ref="G180">_xlfn.IFS(F180&lt;=25,"YOUTH",F180&lt;=48,"ADULT",TRUE,"SENIOR")</f>
        <v>SENIOR</v>
      </c>
      <c r="H180" s="1" t="s">
        <v>21</v>
      </c>
      <c r="I180" s="1" t="s">
        <v>22</v>
      </c>
      <c r="J180" s="1" t="s">
        <v>23</v>
      </c>
      <c r="K180" s="1" t="s">
        <v>31</v>
      </c>
      <c r="L180" s="1">
        <v>46615</v>
      </c>
      <c r="M180" s="3">
        <f t="shared" si="6"/>
        <v>7.7678858736458217E-2</v>
      </c>
      <c r="N180" s="1">
        <v>3621</v>
      </c>
      <c r="O180" s="4">
        <f t="shared" si="7"/>
        <v>6.4430604982206408</v>
      </c>
      <c r="P180" s="1">
        <v>562</v>
      </c>
      <c r="Q180" s="1">
        <v>6914.4877497670504</v>
      </c>
      <c r="R180" s="1">
        <v>19570.218039447798</v>
      </c>
      <c r="S180" s="5">
        <f t="shared" si="8"/>
        <v>19569.218039447798</v>
      </c>
      <c r="T180" s="1">
        <v>1023</v>
      </c>
      <c r="U180" s="1">
        <v>88</v>
      </c>
      <c r="V180" s="1">
        <v>61</v>
      </c>
      <c r="W180" s="1">
        <v>6140</v>
      </c>
      <c r="X180" s="1">
        <v>0.75207227846500702</v>
      </c>
    </row>
    <row r="181" spans="1:24" x14ac:dyDescent="0.3">
      <c r="A181" s="2">
        <v>45310</v>
      </c>
      <c r="B181" s="1" t="s">
        <v>25</v>
      </c>
      <c r="C181" s="1" t="s">
        <v>35</v>
      </c>
      <c r="D181" s="1" t="s">
        <v>19</v>
      </c>
      <c r="E181" s="1" t="s">
        <v>20</v>
      </c>
      <c r="F181" s="1">
        <v>19</v>
      </c>
      <c r="G181" s="1" t="str" cm="1">
        <f t="array" ref="G181">_xlfn.IFS(F181&lt;=25,"YOUTH",F181&lt;=48,"ADULT",TRUE,"SENIOR")</f>
        <v>YOUTH</v>
      </c>
      <c r="H181" s="1" t="s">
        <v>29</v>
      </c>
      <c r="I181" s="1" t="s">
        <v>33</v>
      </c>
      <c r="J181" s="1" t="s">
        <v>23</v>
      </c>
      <c r="K181" s="1" t="s">
        <v>24</v>
      </c>
      <c r="L181" s="1">
        <v>10967</v>
      </c>
      <c r="M181" s="3">
        <f t="shared" si="6"/>
        <v>0.10595422631530957</v>
      </c>
      <c r="N181" s="1">
        <v>1162</v>
      </c>
      <c r="O181" s="4">
        <f t="shared" si="7"/>
        <v>8.8030303030303028</v>
      </c>
      <c r="P181" s="1">
        <v>132</v>
      </c>
      <c r="Q181" s="1">
        <v>672.65851159543297</v>
      </c>
      <c r="R181" s="1">
        <v>9099.6529162615207</v>
      </c>
      <c r="S181" s="5">
        <f t="shared" si="8"/>
        <v>9098.6529162615207</v>
      </c>
      <c r="T181" s="1">
        <v>133</v>
      </c>
      <c r="U181" s="1">
        <v>23</v>
      </c>
      <c r="V181" s="1">
        <v>9</v>
      </c>
      <c r="W181" s="1">
        <v>972</v>
      </c>
      <c r="X181" s="1">
        <v>0.54947278372058805</v>
      </c>
    </row>
    <row r="182" spans="1:24" x14ac:dyDescent="0.3">
      <c r="A182" s="2">
        <v>45301</v>
      </c>
      <c r="B182" s="1" t="s">
        <v>25</v>
      </c>
      <c r="C182" s="1" t="s">
        <v>35</v>
      </c>
      <c r="D182" s="1" t="s">
        <v>19</v>
      </c>
      <c r="E182" s="1" t="s">
        <v>28</v>
      </c>
      <c r="F182" s="1">
        <v>20</v>
      </c>
      <c r="G182" s="1" t="str" cm="1">
        <f t="array" ref="G182">_xlfn.IFS(F182&lt;=25,"YOUTH",F182&lt;=48,"ADULT",TRUE,"SENIOR")</f>
        <v>YOUTH</v>
      </c>
      <c r="H182" s="1" t="s">
        <v>21</v>
      </c>
      <c r="I182" s="1" t="s">
        <v>37</v>
      </c>
      <c r="J182" s="1" t="s">
        <v>30</v>
      </c>
      <c r="K182" s="1" t="s">
        <v>39</v>
      </c>
      <c r="L182" s="1">
        <v>17218</v>
      </c>
      <c r="M182" s="3">
        <f t="shared" si="6"/>
        <v>0.11900336856777791</v>
      </c>
      <c r="N182" s="1">
        <v>2049</v>
      </c>
      <c r="O182" s="4">
        <f t="shared" si="7"/>
        <v>5.9048991354466862</v>
      </c>
      <c r="P182" s="1">
        <v>347</v>
      </c>
      <c r="Q182" s="1">
        <v>1535.05771881433</v>
      </c>
      <c r="R182" s="1">
        <v>10586.593558877599</v>
      </c>
      <c r="S182" s="5">
        <f t="shared" si="8"/>
        <v>10585.593558877599</v>
      </c>
      <c r="T182" s="1">
        <v>194</v>
      </c>
      <c r="U182" s="1">
        <v>26</v>
      </c>
      <c r="V182" s="1">
        <v>18</v>
      </c>
      <c r="W182" s="1">
        <v>1149</v>
      </c>
      <c r="X182" s="1">
        <v>0.62075211714443701</v>
      </c>
    </row>
    <row r="183" spans="1:24" x14ac:dyDescent="0.3">
      <c r="A183" s="2">
        <v>45319</v>
      </c>
      <c r="B183" s="1" t="s">
        <v>34</v>
      </c>
      <c r="C183" s="1" t="s">
        <v>26</v>
      </c>
      <c r="D183" s="1" t="s">
        <v>19</v>
      </c>
      <c r="E183" s="1" t="s">
        <v>20</v>
      </c>
      <c r="F183" s="1">
        <v>54</v>
      </c>
      <c r="G183" s="1" t="str" cm="1">
        <f t="array" ref="G183">_xlfn.IFS(F183&lt;=25,"YOUTH",F183&lt;=48,"ADULT",TRUE,"SENIOR")</f>
        <v>SENIOR</v>
      </c>
      <c r="H183" s="1" t="s">
        <v>29</v>
      </c>
      <c r="I183" s="1" t="s">
        <v>22</v>
      </c>
      <c r="J183" s="1" t="s">
        <v>23</v>
      </c>
      <c r="K183" s="1" t="s">
        <v>31</v>
      </c>
      <c r="L183" s="1">
        <v>44220</v>
      </c>
      <c r="M183" s="3">
        <f t="shared" si="6"/>
        <v>1.2799638172772502E-2</v>
      </c>
      <c r="N183" s="1">
        <v>566</v>
      </c>
      <c r="O183" s="4">
        <f t="shared" si="7"/>
        <v>5.0990990990990994</v>
      </c>
      <c r="P183" s="1">
        <v>111</v>
      </c>
      <c r="Q183" s="1">
        <v>3823.6478228961901</v>
      </c>
      <c r="R183" s="1">
        <v>3168.9615461337298</v>
      </c>
      <c r="S183" s="5">
        <f t="shared" si="8"/>
        <v>3167.9615461337298</v>
      </c>
      <c r="T183" s="1">
        <v>642</v>
      </c>
      <c r="U183" s="1">
        <v>38</v>
      </c>
      <c r="V183" s="1">
        <v>20</v>
      </c>
      <c r="W183" s="1">
        <v>8429</v>
      </c>
      <c r="X183" s="1">
        <v>0.42052526496628501</v>
      </c>
    </row>
    <row r="184" spans="1:24" x14ac:dyDescent="0.3">
      <c r="A184" s="2">
        <v>45320</v>
      </c>
      <c r="B184" s="1" t="s">
        <v>25</v>
      </c>
      <c r="C184" s="1" t="s">
        <v>35</v>
      </c>
      <c r="D184" s="1" t="s">
        <v>36</v>
      </c>
      <c r="E184" s="1" t="s">
        <v>20</v>
      </c>
      <c r="F184" s="1">
        <v>34</v>
      </c>
      <c r="G184" s="1" t="str" cm="1">
        <f t="array" ref="G184">_xlfn.IFS(F184&lt;=25,"YOUTH",F184&lt;=48,"ADULT",TRUE,"SENIOR")</f>
        <v>ADULT</v>
      </c>
      <c r="H184" s="1" t="s">
        <v>29</v>
      </c>
      <c r="I184" s="1" t="s">
        <v>22</v>
      </c>
      <c r="J184" s="1" t="s">
        <v>38</v>
      </c>
      <c r="K184" s="1" t="s">
        <v>39</v>
      </c>
      <c r="L184" s="1">
        <v>9627</v>
      </c>
      <c r="M184" s="3">
        <f t="shared" si="6"/>
        <v>0.13462137737612964</v>
      </c>
      <c r="N184" s="1">
        <v>1296</v>
      </c>
      <c r="O184" s="4">
        <f t="shared" si="7"/>
        <v>4.1538461538461542</v>
      </c>
      <c r="P184" s="1">
        <v>312</v>
      </c>
      <c r="Q184" s="1">
        <v>1386.98303356867</v>
      </c>
      <c r="R184" s="1">
        <v>8021.2966496122299</v>
      </c>
      <c r="S184" s="5">
        <f t="shared" si="8"/>
        <v>8020.2966496122299</v>
      </c>
      <c r="T184" s="1">
        <v>168</v>
      </c>
      <c r="U184" s="1">
        <v>9</v>
      </c>
      <c r="V184" s="1">
        <v>15</v>
      </c>
      <c r="W184" s="1">
        <v>307</v>
      </c>
      <c r="X184" s="1">
        <v>0.82281633709225599</v>
      </c>
    </row>
    <row r="185" spans="1:24" x14ac:dyDescent="0.3">
      <c r="A185" s="2">
        <v>45306</v>
      </c>
      <c r="B185" s="1" t="s">
        <v>25</v>
      </c>
      <c r="C185" s="1" t="s">
        <v>26</v>
      </c>
      <c r="D185" s="1" t="s">
        <v>27</v>
      </c>
      <c r="E185" s="1" t="s">
        <v>28</v>
      </c>
      <c r="F185" s="1">
        <v>19</v>
      </c>
      <c r="G185" s="1" t="str" cm="1">
        <f t="array" ref="G185">_xlfn.IFS(F185&lt;=25,"YOUTH",F185&lt;=48,"ADULT",TRUE,"SENIOR")</f>
        <v>YOUTH</v>
      </c>
      <c r="H185" s="1" t="s">
        <v>42</v>
      </c>
      <c r="I185" s="1" t="s">
        <v>33</v>
      </c>
      <c r="J185" s="1" t="s">
        <v>23</v>
      </c>
      <c r="K185" s="1" t="s">
        <v>24</v>
      </c>
      <c r="L185" s="1">
        <v>5947</v>
      </c>
      <c r="M185" s="3">
        <f t="shared" si="6"/>
        <v>8.9625021019001175E-2</v>
      </c>
      <c r="N185" s="1">
        <v>533</v>
      </c>
      <c r="O185" s="4">
        <f t="shared" si="7"/>
        <v>7.507042253521127</v>
      </c>
      <c r="P185" s="1">
        <v>71</v>
      </c>
      <c r="Q185" s="1">
        <v>488.937869381101</v>
      </c>
      <c r="R185" s="1">
        <v>4484.2676548032996</v>
      </c>
      <c r="S185" s="5">
        <f t="shared" si="8"/>
        <v>4483.2676548032996</v>
      </c>
      <c r="T185" s="1">
        <v>171</v>
      </c>
      <c r="U185" s="1">
        <v>10</v>
      </c>
      <c r="V185" s="1">
        <v>7</v>
      </c>
      <c r="W185" s="1">
        <v>450</v>
      </c>
      <c r="X185" s="1">
        <v>0.86040472598389595</v>
      </c>
    </row>
    <row r="186" spans="1:24" x14ac:dyDescent="0.3">
      <c r="A186" s="2">
        <v>45326</v>
      </c>
      <c r="B186" s="1" t="s">
        <v>40</v>
      </c>
      <c r="C186" s="1" t="s">
        <v>18</v>
      </c>
      <c r="D186" s="1" t="s">
        <v>36</v>
      </c>
      <c r="E186" s="1" t="s">
        <v>28</v>
      </c>
      <c r="F186" s="1">
        <v>19</v>
      </c>
      <c r="G186" s="1" t="str" cm="1">
        <f t="array" ref="G186">_xlfn.IFS(F186&lt;=25,"YOUTH",F186&lt;=48,"ADULT",TRUE,"SENIOR")</f>
        <v>YOUTH</v>
      </c>
      <c r="H186" s="1" t="s">
        <v>29</v>
      </c>
      <c r="I186" s="1" t="s">
        <v>33</v>
      </c>
      <c r="J186" s="1" t="s">
        <v>38</v>
      </c>
      <c r="K186" s="1" t="s">
        <v>31</v>
      </c>
      <c r="L186" s="1">
        <v>40419</v>
      </c>
      <c r="M186" s="3">
        <f t="shared" si="6"/>
        <v>0.12365471684108958</v>
      </c>
      <c r="N186" s="1">
        <v>4998</v>
      </c>
      <c r="O186" s="4">
        <f t="shared" si="7"/>
        <v>21.921052631578949</v>
      </c>
      <c r="P186" s="1">
        <v>228</v>
      </c>
      <c r="Q186" s="1">
        <v>4481.8125830865501</v>
      </c>
      <c r="R186" s="1">
        <v>8501.4471030000004</v>
      </c>
      <c r="S186" s="5">
        <f t="shared" si="8"/>
        <v>8500.4471030000004</v>
      </c>
      <c r="T186" s="1">
        <v>972</v>
      </c>
      <c r="U186" s="1">
        <v>185</v>
      </c>
      <c r="V186" s="1">
        <v>65</v>
      </c>
      <c r="W186" s="1">
        <v>7308</v>
      </c>
      <c r="X186" s="1">
        <v>0.50958022000000003</v>
      </c>
    </row>
    <row r="187" spans="1:24" x14ac:dyDescent="0.3">
      <c r="A187" s="2">
        <v>45297</v>
      </c>
      <c r="B187" s="1" t="s">
        <v>34</v>
      </c>
      <c r="C187" s="1" t="s">
        <v>41</v>
      </c>
      <c r="D187" s="1" t="s">
        <v>19</v>
      </c>
      <c r="E187" s="1" t="s">
        <v>20</v>
      </c>
      <c r="F187" s="1">
        <v>45</v>
      </c>
      <c r="G187" s="1" t="str" cm="1">
        <f t="array" ref="G187">_xlfn.IFS(F187&lt;=25,"YOUTH",F187&lt;=48,"ADULT",TRUE,"SENIOR")</f>
        <v>ADULT</v>
      </c>
      <c r="H187" s="1" t="s">
        <v>29</v>
      </c>
      <c r="I187" s="1" t="s">
        <v>22</v>
      </c>
      <c r="J187" s="1" t="s">
        <v>38</v>
      </c>
      <c r="K187" s="1" t="s">
        <v>39</v>
      </c>
      <c r="L187" s="1">
        <v>24178</v>
      </c>
      <c r="M187" s="3">
        <f t="shared" si="6"/>
        <v>0.12308710397882372</v>
      </c>
      <c r="N187" s="1">
        <v>2976</v>
      </c>
      <c r="O187" s="4">
        <f t="shared" si="7"/>
        <v>8.24376731301939</v>
      </c>
      <c r="P187" s="1">
        <v>361</v>
      </c>
      <c r="Q187" s="1">
        <v>3380.87261015273</v>
      </c>
      <c r="R187" s="1">
        <v>15884.3397140831</v>
      </c>
      <c r="S187" s="5">
        <f t="shared" si="8"/>
        <v>15883.3397140831</v>
      </c>
      <c r="T187" s="1">
        <v>380</v>
      </c>
      <c r="U187" s="1">
        <v>67</v>
      </c>
      <c r="V187" s="1">
        <v>24</v>
      </c>
      <c r="W187" s="1">
        <v>3563</v>
      </c>
      <c r="X187" s="1">
        <v>0.51079418099999996</v>
      </c>
    </row>
    <row r="188" spans="1:24" x14ac:dyDescent="0.3">
      <c r="A188" s="2">
        <v>45303</v>
      </c>
      <c r="B188" s="1" t="s">
        <v>25</v>
      </c>
      <c r="C188" s="1" t="s">
        <v>35</v>
      </c>
      <c r="D188" s="1" t="s">
        <v>19</v>
      </c>
      <c r="E188" s="1" t="s">
        <v>28</v>
      </c>
      <c r="F188" s="1">
        <v>40</v>
      </c>
      <c r="G188" s="1" t="str" cm="1">
        <f t="array" ref="G188">_xlfn.IFS(F188&lt;=25,"YOUTH",F188&lt;=48,"ADULT",TRUE,"SENIOR")</f>
        <v>ADULT</v>
      </c>
      <c r="H188" s="1" t="s">
        <v>21</v>
      </c>
      <c r="I188" s="1" t="s">
        <v>22</v>
      </c>
      <c r="J188" s="1" t="s">
        <v>23</v>
      </c>
      <c r="K188" s="1" t="s">
        <v>39</v>
      </c>
      <c r="L188" s="1">
        <v>29876</v>
      </c>
      <c r="M188" s="3">
        <f t="shared" si="6"/>
        <v>3.6551077788191187E-2</v>
      </c>
      <c r="N188" s="1">
        <v>1092</v>
      </c>
      <c r="O188" s="4">
        <f t="shared" si="7"/>
        <v>7.6901408450704229</v>
      </c>
      <c r="P188" s="1">
        <v>142</v>
      </c>
      <c r="Q188" s="1">
        <v>2047.6775198139401</v>
      </c>
      <c r="R188" s="1">
        <v>2378.9545611920998</v>
      </c>
      <c r="S188" s="5">
        <f t="shared" si="8"/>
        <v>2377.9545611920998</v>
      </c>
      <c r="T188" s="1">
        <v>189</v>
      </c>
      <c r="U188" s="1">
        <v>33</v>
      </c>
      <c r="V188" s="1">
        <v>12</v>
      </c>
      <c r="W188" s="1">
        <v>463</v>
      </c>
      <c r="X188" s="1">
        <v>0.42312002120473102</v>
      </c>
    </row>
    <row r="189" spans="1:24" x14ac:dyDescent="0.3">
      <c r="A189" s="2">
        <v>45338</v>
      </c>
      <c r="B189" s="1" t="s">
        <v>34</v>
      </c>
      <c r="C189" s="1" t="s">
        <v>35</v>
      </c>
      <c r="D189" s="1" t="s">
        <v>36</v>
      </c>
      <c r="E189" s="1" t="s">
        <v>20</v>
      </c>
      <c r="F189" s="1">
        <v>54</v>
      </c>
      <c r="G189" s="1" t="str" cm="1">
        <f t="array" ref="G189">_xlfn.IFS(F189&lt;=25,"YOUTH",F189&lt;=48,"ADULT",TRUE,"SENIOR")</f>
        <v>SENIOR</v>
      </c>
      <c r="H189" s="1" t="s">
        <v>29</v>
      </c>
      <c r="I189" s="1" t="s">
        <v>43</v>
      </c>
      <c r="J189" s="1" t="s">
        <v>23</v>
      </c>
      <c r="K189" s="1" t="s">
        <v>24</v>
      </c>
      <c r="L189" s="1">
        <v>23908</v>
      </c>
      <c r="M189" s="3">
        <f t="shared" si="6"/>
        <v>2.5388991132675256E-2</v>
      </c>
      <c r="N189" s="1">
        <v>607</v>
      </c>
      <c r="O189" s="4">
        <f t="shared" si="7"/>
        <v>4.4306569343065689</v>
      </c>
      <c r="P189" s="1">
        <v>137</v>
      </c>
      <c r="Q189" s="1">
        <v>3281.99200135619</v>
      </c>
      <c r="R189" s="1">
        <v>5502.0917158438697</v>
      </c>
      <c r="S189" s="5">
        <f t="shared" si="8"/>
        <v>5501.0917158438697</v>
      </c>
      <c r="T189" s="1">
        <v>220</v>
      </c>
      <c r="U189" s="1">
        <v>41</v>
      </c>
      <c r="V189" s="1">
        <v>17</v>
      </c>
      <c r="W189" s="1">
        <v>344</v>
      </c>
      <c r="X189" s="1">
        <v>0.93371110253586798</v>
      </c>
    </row>
    <row r="190" spans="1:24" x14ac:dyDescent="0.3">
      <c r="A190" s="2">
        <v>45329</v>
      </c>
      <c r="B190" s="1" t="s">
        <v>40</v>
      </c>
      <c r="C190" s="1" t="s">
        <v>35</v>
      </c>
      <c r="D190" s="1" t="s">
        <v>36</v>
      </c>
      <c r="E190" s="1" t="s">
        <v>28</v>
      </c>
      <c r="F190" s="1">
        <v>49</v>
      </c>
      <c r="G190" s="1" t="str" cm="1">
        <f t="array" ref="G190">_xlfn.IFS(F190&lt;=25,"YOUTH",F190&lt;=48,"ADULT",TRUE,"SENIOR")</f>
        <v>SENIOR</v>
      </c>
      <c r="H190" s="1" t="s">
        <v>21</v>
      </c>
      <c r="I190" s="1" t="s">
        <v>37</v>
      </c>
      <c r="J190" s="1" t="s">
        <v>38</v>
      </c>
      <c r="K190" s="1" t="s">
        <v>31</v>
      </c>
      <c r="L190" s="1">
        <v>36912</v>
      </c>
      <c r="M190" s="3">
        <f t="shared" si="6"/>
        <v>0.11096662332032943</v>
      </c>
      <c r="N190" s="1">
        <v>4096</v>
      </c>
      <c r="O190" s="4">
        <f t="shared" si="7"/>
        <v>9.0419426048565121</v>
      </c>
      <c r="P190" s="1">
        <v>453</v>
      </c>
      <c r="Q190" s="1">
        <v>5140.7087281173399</v>
      </c>
      <c r="R190" s="1">
        <v>10352.0160390126</v>
      </c>
      <c r="S190" s="5">
        <f t="shared" si="8"/>
        <v>10351.0160390126</v>
      </c>
      <c r="T190" s="1">
        <v>605</v>
      </c>
      <c r="U190" s="1">
        <v>76</v>
      </c>
      <c r="V190" s="1">
        <v>30</v>
      </c>
      <c r="W190" s="1">
        <v>3991</v>
      </c>
      <c r="X190" s="1">
        <v>0.84395261246447595</v>
      </c>
    </row>
    <row r="191" spans="1:24" x14ac:dyDescent="0.3">
      <c r="A191" s="2">
        <v>45304</v>
      </c>
      <c r="B191" s="1" t="s">
        <v>34</v>
      </c>
      <c r="C191" s="1" t="s">
        <v>18</v>
      </c>
      <c r="D191" s="1" t="s">
        <v>27</v>
      </c>
      <c r="E191" s="1" t="s">
        <v>20</v>
      </c>
      <c r="F191" s="1">
        <v>50</v>
      </c>
      <c r="G191" s="1" t="str" cm="1">
        <f t="array" ref="G191">_xlfn.IFS(F191&lt;=25,"YOUTH",F191&lt;=48,"ADULT",TRUE,"SENIOR")</f>
        <v>SENIOR</v>
      </c>
      <c r="H191" s="1" t="s">
        <v>29</v>
      </c>
      <c r="I191" s="1" t="s">
        <v>43</v>
      </c>
      <c r="J191" s="1" t="s">
        <v>23</v>
      </c>
      <c r="K191" s="1" t="s">
        <v>31</v>
      </c>
      <c r="L191" s="1">
        <v>20971</v>
      </c>
      <c r="M191" s="3">
        <f t="shared" si="6"/>
        <v>3.1853511992751896E-2</v>
      </c>
      <c r="N191" s="1">
        <v>668</v>
      </c>
      <c r="O191" s="4">
        <f t="shared" si="7"/>
        <v>4.2012578616352201</v>
      </c>
      <c r="P191" s="1">
        <v>159</v>
      </c>
      <c r="Q191" s="1">
        <v>2956.62003819031</v>
      </c>
      <c r="R191" s="1">
        <v>8346.1325812518298</v>
      </c>
      <c r="S191" s="5">
        <f t="shared" si="8"/>
        <v>8345.1325812518298</v>
      </c>
      <c r="T191" s="1">
        <v>531</v>
      </c>
      <c r="U191" s="1">
        <v>46</v>
      </c>
      <c r="V191" s="1">
        <v>24</v>
      </c>
      <c r="W191" s="1">
        <v>2139</v>
      </c>
      <c r="X191" s="1">
        <v>0.59838676159831705</v>
      </c>
    </row>
    <row r="192" spans="1:24" x14ac:dyDescent="0.3">
      <c r="A192" s="2">
        <v>45320</v>
      </c>
      <c r="B192" s="1" t="s">
        <v>25</v>
      </c>
      <c r="C192" s="1" t="s">
        <v>26</v>
      </c>
      <c r="D192" s="1" t="s">
        <v>36</v>
      </c>
      <c r="E192" s="1" t="s">
        <v>20</v>
      </c>
      <c r="F192" s="1">
        <v>18</v>
      </c>
      <c r="G192" s="1" t="str" cm="1">
        <f t="array" ref="G192">_xlfn.IFS(F192&lt;=25,"YOUTH",F192&lt;=48,"ADULT",TRUE,"SENIOR")</f>
        <v>YOUTH</v>
      </c>
      <c r="H192" s="1" t="s">
        <v>42</v>
      </c>
      <c r="I192" s="1" t="s">
        <v>33</v>
      </c>
      <c r="J192" s="1" t="s">
        <v>38</v>
      </c>
      <c r="K192" s="1" t="s">
        <v>31</v>
      </c>
      <c r="L192" s="1">
        <v>33584</v>
      </c>
      <c r="M192" s="3">
        <f t="shared" si="6"/>
        <v>0.12898999523582658</v>
      </c>
      <c r="N192" s="1">
        <v>4332</v>
      </c>
      <c r="O192" s="4">
        <f t="shared" si="7"/>
        <v>7.6</v>
      </c>
      <c r="P192" s="1">
        <v>570</v>
      </c>
      <c r="Q192" s="1">
        <v>1852.4264100734099</v>
      </c>
      <c r="R192" s="1">
        <v>33695.175322757699</v>
      </c>
      <c r="S192" s="5">
        <f t="shared" si="8"/>
        <v>33694.175322757699</v>
      </c>
      <c r="T192" s="1">
        <v>487</v>
      </c>
      <c r="U192" s="1">
        <v>53</v>
      </c>
      <c r="V192" s="1">
        <v>42</v>
      </c>
      <c r="W192" s="1">
        <v>3162</v>
      </c>
      <c r="X192" s="1">
        <v>0.66504954930840299</v>
      </c>
    </row>
    <row r="193" spans="1:24" x14ac:dyDescent="0.3">
      <c r="A193" s="2">
        <v>45310</v>
      </c>
      <c r="B193" s="1" t="s">
        <v>34</v>
      </c>
      <c r="C193" s="1" t="s">
        <v>18</v>
      </c>
      <c r="D193" s="1" t="s">
        <v>27</v>
      </c>
      <c r="E193" s="1" t="s">
        <v>20</v>
      </c>
      <c r="F193" s="1">
        <v>36</v>
      </c>
      <c r="G193" s="1" t="str" cm="1">
        <f t="array" ref="G193">_xlfn.IFS(F193&lt;=25,"YOUTH",F193&lt;=48,"ADULT",TRUE,"SENIOR")</f>
        <v>ADULT</v>
      </c>
      <c r="H193" s="1" t="s">
        <v>21</v>
      </c>
      <c r="I193" s="1" t="s">
        <v>43</v>
      </c>
      <c r="J193" s="1" t="s">
        <v>23</v>
      </c>
      <c r="K193" s="1" t="s">
        <v>39</v>
      </c>
      <c r="L193" s="1">
        <v>9959</v>
      </c>
      <c r="M193" s="3">
        <f t="shared" si="6"/>
        <v>0.11165779696756703</v>
      </c>
      <c r="N193" s="1">
        <v>1112</v>
      </c>
      <c r="O193" s="4">
        <f t="shared" si="7"/>
        <v>4.1033210332103325</v>
      </c>
      <c r="P193" s="1">
        <v>271</v>
      </c>
      <c r="Q193" s="1">
        <v>717.50837723348695</v>
      </c>
      <c r="R193" s="1">
        <v>13946.3903418924</v>
      </c>
      <c r="S193" s="5">
        <f t="shared" si="8"/>
        <v>13945.3903418924</v>
      </c>
      <c r="T193" s="1">
        <v>183</v>
      </c>
      <c r="U193" s="1">
        <v>28</v>
      </c>
      <c r="V193" s="1">
        <v>6</v>
      </c>
      <c r="W193" s="1">
        <v>671</v>
      </c>
      <c r="X193" s="1">
        <v>0.56058182835797699</v>
      </c>
    </row>
    <row r="194" spans="1:24" x14ac:dyDescent="0.3">
      <c r="A194" s="2">
        <v>45294</v>
      </c>
      <c r="B194" s="1" t="s">
        <v>25</v>
      </c>
      <c r="C194" s="1" t="s">
        <v>41</v>
      </c>
      <c r="D194" s="1" t="s">
        <v>19</v>
      </c>
      <c r="E194" s="1" t="s">
        <v>28</v>
      </c>
      <c r="F194" s="1">
        <v>19</v>
      </c>
      <c r="G194" s="1" t="str" cm="1">
        <f t="array" ref="G194">_xlfn.IFS(F194&lt;=25,"YOUTH",F194&lt;=48,"ADULT",TRUE,"SENIOR")</f>
        <v>YOUTH</v>
      </c>
      <c r="H194" s="1" t="s">
        <v>21</v>
      </c>
      <c r="I194" s="1" t="s">
        <v>43</v>
      </c>
      <c r="J194" s="1" t="s">
        <v>38</v>
      </c>
      <c r="K194" s="1" t="s">
        <v>31</v>
      </c>
      <c r="L194" s="1">
        <v>29261</v>
      </c>
      <c r="M194" s="3">
        <f t="shared" si="6"/>
        <v>0.12784935579781961</v>
      </c>
      <c r="N194" s="1">
        <v>3741</v>
      </c>
      <c r="O194" s="4">
        <f t="shared" si="7"/>
        <v>46.185185185185183</v>
      </c>
      <c r="P194" s="1">
        <v>81</v>
      </c>
      <c r="Q194" s="1">
        <v>3896.1451071769902</v>
      </c>
      <c r="R194" s="1">
        <v>4249.7355354129004</v>
      </c>
      <c r="S194" s="5">
        <f t="shared" si="8"/>
        <v>4248.7355354129004</v>
      </c>
      <c r="T194" s="1">
        <v>798</v>
      </c>
      <c r="U194" s="1">
        <v>144</v>
      </c>
      <c r="V194" s="1">
        <v>27</v>
      </c>
      <c r="W194" s="1">
        <v>5777</v>
      </c>
      <c r="X194" s="1">
        <v>0.72848418257714598</v>
      </c>
    </row>
    <row r="195" spans="1:24" x14ac:dyDescent="0.3">
      <c r="A195" s="2">
        <v>45299</v>
      </c>
      <c r="B195" s="1" t="s">
        <v>25</v>
      </c>
      <c r="C195" s="1" t="s">
        <v>18</v>
      </c>
      <c r="D195" s="1" t="s">
        <v>32</v>
      </c>
      <c r="E195" s="1" t="s">
        <v>20</v>
      </c>
      <c r="F195" s="1">
        <v>43</v>
      </c>
      <c r="G195" s="1" t="str" cm="1">
        <f t="array" ref="G195">_xlfn.IFS(F195&lt;=25,"YOUTH",F195&lt;=48,"ADULT",TRUE,"SENIOR")</f>
        <v>ADULT</v>
      </c>
      <c r="H195" s="1" t="s">
        <v>42</v>
      </c>
      <c r="I195" s="1" t="s">
        <v>43</v>
      </c>
      <c r="J195" s="1" t="s">
        <v>38</v>
      </c>
      <c r="K195" s="1" t="s">
        <v>24</v>
      </c>
      <c r="L195" s="1">
        <v>42065</v>
      </c>
      <c r="M195" s="3">
        <f t="shared" ref="M195:M258" si="9">(N195/L195)</f>
        <v>5.1848329965529537E-2</v>
      </c>
      <c r="N195" s="1">
        <v>2181</v>
      </c>
      <c r="O195" s="4">
        <f t="shared" ref="O195:O258" si="10">(N195/P195)</f>
        <v>4.4149797570850202</v>
      </c>
      <c r="P195" s="1">
        <v>494</v>
      </c>
      <c r="Q195" s="1">
        <v>2805.3584779862499</v>
      </c>
      <c r="R195" s="1">
        <v>18925.5627492776</v>
      </c>
      <c r="S195" s="5">
        <f t="shared" ref="S195:S258" si="11">(R195-Q195/Q195)</f>
        <v>18924.5627492776</v>
      </c>
      <c r="T195" s="1">
        <v>1171</v>
      </c>
      <c r="U195" s="1">
        <v>134</v>
      </c>
      <c r="V195" s="1">
        <v>24</v>
      </c>
      <c r="W195" s="1">
        <v>2594</v>
      </c>
      <c r="X195" s="1">
        <v>0.79451962678342902</v>
      </c>
    </row>
    <row r="196" spans="1:24" x14ac:dyDescent="0.3">
      <c r="A196" s="2">
        <v>45299</v>
      </c>
      <c r="B196" s="1" t="s">
        <v>25</v>
      </c>
      <c r="C196" s="1" t="s">
        <v>41</v>
      </c>
      <c r="D196" s="1" t="s">
        <v>32</v>
      </c>
      <c r="E196" s="1" t="s">
        <v>28</v>
      </c>
      <c r="F196" s="1">
        <v>49</v>
      </c>
      <c r="G196" s="1" t="str" cm="1">
        <f t="array" ref="G196">_xlfn.IFS(F196&lt;=25,"YOUTH",F196&lt;=48,"ADULT",TRUE,"SENIOR")</f>
        <v>SENIOR</v>
      </c>
      <c r="H196" s="1" t="s">
        <v>29</v>
      </c>
      <c r="I196" s="1" t="s">
        <v>43</v>
      </c>
      <c r="J196" s="1" t="s">
        <v>38</v>
      </c>
      <c r="K196" s="1" t="s">
        <v>31</v>
      </c>
      <c r="L196" s="1">
        <v>40462</v>
      </c>
      <c r="M196" s="3">
        <f t="shared" si="9"/>
        <v>5.432257426721368E-2</v>
      </c>
      <c r="N196" s="1">
        <v>2198</v>
      </c>
      <c r="O196" s="4">
        <f t="shared" si="10"/>
        <v>4.2762645914396886</v>
      </c>
      <c r="P196" s="1">
        <v>514</v>
      </c>
      <c r="Q196" s="1">
        <v>3966.6069684122099</v>
      </c>
      <c r="R196" s="1">
        <v>26361.864262123399</v>
      </c>
      <c r="S196" s="5">
        <f t="shared" si="11"/>
        <v>26360.864262123399</v>
      </c>
      <c r="T196" s="1">
        <v>420</v>
      </c>
      <c r="U196" s="1">
        <v>54</v>
      </c>
      <c r="V196" s="1">
        <v>15</v>
      </c>
      <c r="W196" s="1">
        <v>4171</v>
      </c>
      <c r="X196" s="1">
        <v>0.64605266289552898</v>
      </c>
    </row>
    <row r="197" spans="1:24" x14ac:dyDescent="0.3">
      <c r="A197" s="2">
        <v>45346</v>
      </c>
      <c r="B197" s="1" t="s">
        <v>40</v>
      </c>
      <c r="C197" s="1" t="s">
        <v>35</v>
      </c>
      <c r="D197" s="1" t="s">
        <v>32</v>
      </c>
      <c r="E197" s="1" t="s">
        <v>20</v>
      </c>
      <c r="F197" s="1">
        <v>23</v>
      </c>
      <c r="G197" s="1" t="str" cm="1">
        <f t="array" ref="G197">_xlfn.IFS(F197&lt;=25,"YOUTH",F197&lt;=48,"ADULT",TRUE,"SENIOR")</f>
        <v>YOUTH</v>
      </c>
      <c r="H197" s="1" t="s">
        <v>42</v>
      </c>
      <c r="I197" s="1" t="s">
        <v>37</v>
      </c>
      <c r="J197" s="1" t="s">
        <v>23</v>
      </c>
      <c r="K197" s="1" t="s">
        <v>39</v>
      </c>
      <c r="L197" s="1">
        <v>16835</v>
      </c>
      <c r="M197" s="3">
        <f t="shared" si="9"/>
        <v>0.10395010395010396</v>
      </c>
      <c r="N197" s="1">
        <v>1750</v>
      </c>
      <c r="O197" s="4">
        <f t="shared" si="10"/>
        <v>4.156769596199525</v>
      </c>
      <c r="P197" s="1">
        <v>421</v>
      </c>
      <c r="Q197" s="1">
        <v>595.06819186398604</v>
      </c>
      <c r="R197" s="1">
        <v>13671.8279901808</v>
      </c>
      <c r="S197" s="5">
        <f t="shared" si="11"/>
        <v>13670.8279901808</v>
      </c>
      <c r="T197" s="1">
        <v>102</v>
      </c>
      <c r="U197" s="1">
        <v>19</v>
      </c>
      <c r="V197" s="1">
        <v>6</v>
      </c>
      <c r="W197" s="1">
        <v>1463</v>
      </c>
      <c r="X197" s="1">
        <v>0.88047680631039205</v>
      </c>
    </row>
    <row r="198" spans="1:24" x14ac:dyDescent="0.3">
      <c r="A198" s="2">
        <v>45349</v>
      </c>
      <c r="B198" s="1" t="s">
        <v>34</v>
      </c>
      <c r="C198" s="1" t="s">
        <v>41</v>
      </c>
      <c r="D198" s="1" t="s">
        <v>32</v>
      </c>
      <c r="E198" s="1" t="s">
        <v>20</v>
      </c>
      <c r="F198" s="1">
        <v>49</v>
      </c>
      <c r="G198" s="1" t="str" cm="1">
        <f t="array" ref="G198">_xlfn.IFS(F198&lt;=25,"YOUTH",F198&lt;=48,"ADULT",TRUE,"SENIOR")</f>
        <v>SENIOR</v>
      </c>
      <c r="H198" s="1" t="s">
        <v>29</v>
      </c>
      <c r="I198" s="1" t="s">
        <v>37</v>
      </c>
      <c r="J198" s="1" t="s">
        <v>23</v>
      </c>
      <c r="K198" s="1" t="s">
        <v>31</v>
      </c>
      <c r="L198" s="1">
        <v>20257</v>
      </c>
      <c r="M198" s="3">
        <f t="shared" si="9"/>
        <v>1.4365404551513057E-2</v>
      </c>
      <c r="N198" s="1">
        <v>291</v>
      </c>
      <c r="O198" s="4">
        <f t="shared" si="10"/>
        <v>48.5</v>
      </c>
      <c r="P198" s="1">
        <v>6</v>
      </c>
      <c r="Q198" s="1">
        <v>553.33511644202201</v>
      </c>
      <c r="R198" s="1">
        <v>284.08076987654903</v>
      </c>
      <c r="S198" s="5">
        <f t="shared" si="11"/>
        <v>283.08076987654903</v>
      </c>
      <c r="T198" s="1">
        <v>255</v>
      </c>
      <c r="U198" s="1">
        <v>16</v>
      </c>
      <c r="V198" s="1">
        <v>16</v>
      </c>
      <c r="W198" s="1">
        <v>857</v>
      </c>
      <c r="X198" s="1">
        <v>0.68436422422034504</v>
      </c>
    </row>
    <row r="199" spans="1:24" x14ac:dyDescent="0.3">
      <c r="A199" s="2">
        <v>45311</v>
      </c>
      <c r="B199" s="1" t="s">
        <v>40</v>
      </c>
      <c r="C199" s="1" t="s">
        <v>41</v>
      </c>
      <c r="D199" s="1" t="s">
        <v>19</v>
      </c>
      <c r="E199" s="1" t="s">
        <v>20</v>
      </c>
      <c r="F199" s="1">
        <v>21</v>
      </c>
      <c r="G199" s="1" t="str" cm="1">
        <f t="array" ref="G199">_xlfn.IFS(F199&lt;=25,"YOUTH",F199&lt;=48,"ADULT",TRUE,"SENIOR")</f>
        <v>YOUTH</v>
      </c>
      <c r="H199" s="1" t="s">
        <v>21</v>
      </c>
      <c r="I199" s="1" t="s">
        <v>22</v>
      </c>
      <c r="J199" s="1" t="s">
        <v>23</v>
      </c>
      <c r="K199" s="1" t="s">
        <v>31</v>
      </c>
      <c r="L199" s="1">
        <v>4346</v>
      </c>
      <c r="M199" s="3">
        <f t="shared" si="9"/>
        <v>0.11159687068568799</v>
      </c>
      <c r="N199" s="1">
        <v>485</v>
      </c>
      <c r="O199" s="4">
        <f t="shared" si="10"/>
        <v>17.321428571428573</v>
      </c>
      <c r="P199" s="1">
        <v>28</v>
      </c>
      <c r="Q199" s="1">
        <v>319.68836418328698</v>
      </c>
      <c r="R199" s="1">
        <v>611.45136241933596</v>
      </c>
      <c r="S199" s="5">
        <f t="shared" si="11"/>
        <v>610.45136241933596</v>
      </c>
      <c r="T199" s="1">
        <v>97</v>
      </c>
      <c r="U199" s="1">
        <v>17</v>
      </c>
      <c r="V199" s="1">
        <v>3</v>
      </c>
      <c r="W199" s="1">
        <v>210</v>
      </c>
      <c r="X199" s="1">
        <v>0.47933929799279501</v>
      </c>
    </row>
    <row r="200" spans="1:24" x14ac:dyDescent="0.3">
      <c r="A200" s="2">
        <v>45338</v>
      </c>
      <c r="B200" s="1" t="s">
        <v>34</v>
      </c>
      <c r="C200" s="1" t="s">
        <v>26</v>
      </c>
      <c r="D200" s="1" t="s">
        <v>32</v>
      </c>
      <c r="E200" s="1" t="s">
        <v>20</v>
      </c>
      <c r="F200" s="1">
        <v>28</v>
      </c>
      <c r="G200" s="1" t="str" cm="1">
        <f t="array" ref="G200">_xlfn.IFS(F200&lt;=25,"YOUTH",F200&lt;=48,"ADULT",TRUE,"SENIOR")</f>
        <v>ADULT</v>
      </c>
      <c r="H200" s="1" t="s">
        <v>29</v>
      </c>
      <c r="I200" s="1" t="s">
        <v>33</v>
      </c>
      <c r="J200" s="1" t="s">
        <v>23</v>
      </c>
      <c r="K200" s="1" t="s">
        <v>31</v>
      </c>
      <c r="L200" s="1">
        <v>31807</v>
      </c>
      <c r="M200" s="3">
        <f t="shared" si="9"/>
        <v>0.12698462602571761</v>
      </c>
      <c r="N200" s="1">
        <v>4039</v>
      </c>
      <c r="O200" s="4">
        <f t="shared" si="10"/>
        <v>5.870639534883721</v>
      </c>
      <c r="P200" s="1">
        <v>688</v>
      </c>
      <c r="Q200" s="1">
        <v>3029.9077597829501</v>
      </c>
      <c r="R200" s="1">
        <v>6559.5335905930897</v>
      </c>
      <c r="S200" s="5">
        <f t="shared" si="11"/>
        <v>6558.5335905930897</v>
      </c>
      <c r="T200" s="1">
        <v>915</v>
      </c>
      <c r="U200" s="1">
        <v>67</v>
      </c>
      <c r="V200" s="1">
        <v>23</v>
      </c>
      <c r="W200" s="1">
        <v>5867</v>
      </c>
      <c r="X200" s="1">
        <v>0.74226025671070195</v>
      </c>
    </row>
    <row r="201" spans="1:24" x14ac:dyDescent="0.3">
      <c r="A201" s="2">
        <v>45295</v>
      </c>
      <c r="B201" s="1" t="s">
        <v>40</v>
      </c>
      <c r="C201" s="1" t="s">
        <v>41</v>
      </c>
      <c r="D201" s="1" t="s">
        <v>36</v>
      </c>
      <c r="E201" s="1" t="s">
        <v>20</v>
      </c>
      <c r="F201" s="1">
        <v>34</v>
      </c>
      <c r="G201" s="1" t="str" cm="1">
        <f t="array" ref="G201">_xlfn.IFS(F201&lt;=25,"YOUTH",F201&lt;=48,"ADULT",TRUE,"SENIOR")</f>
        <v>ADULT</v>
      </c>
      <c r="H201" s="1" t="s">
        <v>21</v>
      </c>
      <c r="I201" s="1" t="s">
        <v>43</v>
      </c>
      <c r="J201" s="1" t="s">
        <v>23</v>
      </c>
      <c r="K201" s="1" t="s">
        <v>31</v>
      </c>
      <c r="L201" s="1">
        <v>31418</v>
      </c>
      <c r="M201" s="3">
        <f t="shared" si="9"/>
        <v>6.8113820103125597E-2</v>
      </c>
      <c r="N201" s="1">
        <v>2140</v>
      </c>
      <c r="O201" s="4">
        <f t="shared" si="10"/>
        <v>38.909090909090907</v>
      </c>
      <c r="P201" s="1">
        <v>55</v>
      </c>
      <c r="Q201" s="1">
        <v>2232.27669665645</v>
      </c>
      <c r="R201" s="1">
        <v>1753.16691923603</v>
      </c>
      <c r="S201" s="5">
        <f t="shared" si="11"/>
        <v>1752.16691923603</v>
      </c>
      <c r="T201" s="1">
        <v>217</v>
      </c>
      <c r="U201" s="1">
        <v>26</v>
      </c>
      <c r="V201" s="1">
        <v>17</v>
      </c>
      <c r="W201" s="1">
        <v>5437</v>
      </c>
      <c r="X201" s="1">
        <v>0.65422703124929105</v>
      </c>
    </row>
    <row r="202" spans="1:24" x14ac:dyDescent="0.3">
      <c r="A202" s="2">
        <v>45342</v>
      </c>
      <c r="B202" s="1" t="s">
        <v>17</v>
      </c>
      <c r="C202" s="1" t="s">
        <v>41</v>
      </c>
      <c r="D202" s="1" t="s">
        <v>36</v>
      </c>
      <c r="E202" s="1" t="s">
        <v>28</v>
      </c>
      <c r="F202" s="1">
        <v>55</v>
      </c>
      <c r="G202" s="1" t="str" cm="1">
        <f t="array" ref="G202">_xlfn.IFS(F202&lt;=25,"YOUTH",F202&lt;=48,"ADULT",TRUE,"SENIOR")</f>
        <v>SENIOR</v>
      </c>
      <c r="H202" s="1" t="s">
        <v>29</v>
      </c>
      <c r="I202" s="1" t="s">
        <v>22</v>
      </c>
      <c r="J202" s="1" t="s">
        <v>23</v>
      </c>
      <c r="K202" s="1" t="s">
        <v>39</v>
      </c>
      <c r="L202" s="1">
        <v>12340</v>
      </c>
      <c r="M202" s="3">
        <f t="shared" si="9"/>
        <v>0.11701782820097245</v>
      </c>
      <c r="N202" s="1">
        <v>1444</v>
      </c>
      <c r="O202" s="4">
        <f t="shared" si="10"/>
        <v>28.88</v>
      </c>
      <c r="P202" s="1">
        <v>50</v>
      </c>
      <c r="Q202" s="1">
        <v>1173.6037224920201</v>
      </c>
      <c r="R202" s="1">
        <v>1750.7790062865899</v>
      </c>
      <c r="S202" s="5">
        <f t="shared" si="11"/>
        <v>1749.7790062865899</v>
      </c>
      <c r="T202" s="1">
        <v>70</v>
      </c>
      <c r="U202" s="1">
        <v>5</v>
      </c>
      <c r="V202" s="1">
        <v>5</v>
      </c>
      <c r="W202" s="1">
        <v>590</v>
      </c>
      <c r="X202" s="1">
        <v>0.914619524694949</v>
      </c>
    </row>
    <row r="203" spans="1:24" x14ac:dyDescent="0.3">
      <c r="A203" s="2">
        <v>45312</v>
      </c>
      <c r="B203" s="1" t="s">
        <v>25</v>
      </c>
      <c r="C203" s="1" t="s">
        <v>18</v>
      </c>
      <c r="D203" s="1" t="s">
        <v>32</v>
      </c>
      <c r="E203" s="1" t="s">
        <v>28</v>
      </c>
      <c r="F203" s="1">
        <v>41</v>
      </c>
      <c r="G203" s="1" t="str" cm="1">
        <f t="array" ref="G203">_xlfn.IFS(F203&lt;=25,"YOUTH",F203&lt;=48,"ADULT",TRUE,"SENIOR")</f>
        <v>ADULT</v>
      </c>
      <c r="H203" s="1" t="s">
        <v>21</v>
      </c>
      <c r="I203" s="1" t="s">
        <v>22</v>
      </c>
      <c r="J203" s="1" t="s">
        <v>38</v>
      </c>
      <c r="K203" s="1" t="s">
        <v>24</v>
      </c>
      <c r="L203" s="1">
        <v>34012</v>
      </c>
      <c r="M203" s="3">
        <f t="shared" si="9"/>
        <v>3.4429025049982361E-2</v>
      </c>
      <c r="N203" s="1">
        <v>1171</v>
      </c>
      <c r="O203" s="4">
        <f t="shared" si="10"/>
        <v>14.280487804878049</v>
      </c>
      <c r="P203" s="1">
        <v>82</v>
      </c>
      <c r="Q203" s="1">
        <v>2957.7164743061098</v>
      </c>
      <c r="R203" s="1">
        <v>1776.65015314571</v>
      </c>
      <c r="S203" s="5">
        <f t="shared" si="11"/>
        <v>1775.65015314571</v>
      </c>
      <c r="T203" s="1">
        <v>921</v>
      </c>
      <c r="U203" s="1">
        <v>129</v>
      </c>
      <c r="V203" s="1">
        <v>91</v>
      </c>
      <c r="W203" s="1">
        <v>5998</v>
      </c>
      <c r="X203" s="1">
        <v>0.61554165651475201</v>
      </c>
    </row>
    <row r="204" spans="1:24" x14ac:dyDescent="0.3">
      <c r="A204" s="2">
        <v>45294</v>
      </c>
      <c r="B204" s="1" t="s">
        <v>25</v>
      </c>
      <c r="C204" s="1" t="s">
        <v>35</v>
      </c>
      <c r="D204" s="1" t="s">
        <v>36</v>
      </c>
      <c r="E204" s="1" t="s">
        <v>28</v>
      </c>
      <c r="F204" s="1">
        <v>22</v>
      </c>
      <c r="G204" s="1" t="str" cm="1">
        <f t="array" ref="G204">_xlfn.IFS(F204&lt;=25,"YOUTH",F204&lt;=48,"ADULT",TRUE,"SENIOR")</f>
        <v>YOUTH</v>
      </c>
      <c r="H204" s="1" t="s">
        <v>21</v>
      </c>
      <c r="I204" s="1" t="s">
        <v>22</v>
      </c>
      <c r="J204" s="1" t="s">
        <v>23</v>
      </c>
      <c r="K204" s="1" t="s">
        <v>39</v>
      </c>
      <c r="L204" s="1">
        <v>36393</v>
      </c>
      <c r="M204" s="3">
        <f t="shared" si="9"/>
        <v>5.5093012392493063E-2</v>
      </c>
      <c r="N204" s="1">
        <v>2005</v>
      </c>
      <c r="O204" s="4">
        <f t="shared" si="10"/>
        <v>7.2644927536231885</v>
      </c>
      <c r="P204" s="1">
        <v>276</v>
      </c>
      <c r="Q204" s="1">
        <v>3972.0026154030602</v>
      </c>
      <c r="R204" s="1">
        <v>14435.108760225799</v>
      </c>
      <c r="S204" s="5">
        <f t="shared" si="11"/>
        <v>14434.108760225799</v>
      </c>
      <c r="T204" s="1">
        <v>862</v>
      </c>
      <c r="U204" s="1">
        <v>115</v>
      </c>
      <c r="V204" s="1">
        <v>79</v>
      </c>
      <c r="W204" s="1">
        <v>1810</v>
      </c>
      <c r="X204" s="1">
        <v>0.62157615653255704</v>
      </c>
    </row>
    <row r="205" spans="1:24" x14ac:dyDescent="0.3">
      <c r="A205" s="2">
        <v>45336</v>
      </c>
      <c r="B205" s="1" t="s">
        <v>40</v>
      </c>
      <c r="C205" s="1" t="s">
        <v>18</v>
      </c>
      <c r="D205" s="1" t="s">
        <v>27</v>
      </c>
      <c r="E205" s="1" t="s">
        <v>20</v>
      </c>
      <c r="F205" s="1">
        <v>51</v>
      </c>
      <c r="G205" s="1" t="str" cm="1">
        <f t="array" ref="G205">_xlfn.IFS(F205&lt;=25,"YOUTH",F205&lt;=48,"ADULT",TRUE,"SENIOR")</f>
        <v>SENIOR</v>
      </c>
      <c r="H205" s="1" t="s">
        <v>42</v>
      </c>
      <c r="I205" s="1" t="s">
        <v>37</v>
      </c>
      <c r="J205" s="1" t="s">
        <v>23</v>
      </c>
      <c r="K205" s="1" t="s">
        <v>24</v>
      </c>
      <c r="L205" s="1">
        <v>37617</v>
      </c>
      <c r="M205" s="3">
        <f t="shared" si="9"/>
        <v>0.1463965760161629</v>
      </c>
      <c r="N205" s="1">
        <v>5507</v>
      </c>
      <c r="O205" s="4">
        <f t="shared" si="10"/>
        <v>6.8751560549313355</v>
      </c>
      <c r="P205" s="1">
        <v>801</v>
      </c>
      <c r="Q205" s="1">
        <v>3928.6899897202802</v>
      </c>
      <c r="R205" s="1">
        <v>7834.40568789997</v>
      </c>
      <c r="S205" s="5">
        <f t="shared" si="11"/>
        <v>7833.40568789997</v>
      </c>
      <c r="T205" s="1">
        <v>1121</v>
      </c>
      <c r="U205" s="1">
        <v>119</v>
      </c>
      <c r="V205" s="1">
        <v>105</v>
      </c>
      <c r="W205" s="1">
        <v>4854</v>
      </c>
      <c r="X205" s="1">
        <v>0.757925364379885</v>
      </c>
    </row>
    <row r="206" spans="1:24" x14ac:dyDescent="0.3">
      <c r="A206" s="2">
        <v>45299</v>
      </c>
      <c r="B206" s="1" t="s">
        <v>17</v>
      </c>
      <c r="C206" s="1" t="s">
        <v>18</v>
      </c>
      <c r="D206" s="1" t="s">
        <v>19</v>
      </c>
      <c r="E206" s="1" t="s">
        <v>20</v>
      </c>
      <c r="F206" s="1">
        <v>23</v>
      </c>
      <c r="G206" s="1" t="str" cm="1">
        <f t="array" ref="G206">_xlfn.IFS(F206&lt;=25,"YOUTH",F206&lt;=48,"ADULT",TRUE,"SENIOR")</f>
        <v>YOUTH</v>
      </c>
      <c r="H206" s="1" t="s">
        <v>29</v>
      </c>
      <c r="I206" s="1" t="s">
        <v>43</v>
      </c>
      <c r="J206" s="1" t="s">
        <v>23</v>
      </c>
      <c r="K206" s="1" t="s">
        <v>24</v>
      </c>
      <c r="L206" s="1">
        <v>10597</v>
      </c>
      <c r="M206" s="3">
        <f t="shared" si="9"/>
        <v>0.14806077191658015</v>
      </c>
      <c r="N206" s="1">
        <v>1569</v>
      </c>
      <c r="O206" s="4">
        <f t="shared" si="10"/>
        <v>36.488372093023258</v>
      </c>
      <c r="P206" s="1">
        <v>43</v>
      </c>
      <c r="Q206" s="1">
        <v>796.385123194416</v>
      </c>
      <c r="R206" s="1">
        <v>837.58156663983198</v>
      </c>
      <c r="S206" s="5">
        <f t="shared" si="11"/>
        <v>836.58156663983198</v>
      </c>
      <c r="T206" s="1">
        <v>158</v>
      </c>
      <c r="U206" s="1">
        <v>28</v>
      </c>
      <c r="V206" s="1">
        <v>13</v>
      </c>
      <c r="W206" s="1">
        <v>269</v>
      </c>
      <c r="X206" s="1">
        <v>0.689842420079535</v>
      </c>
    </row>
    <row r="207" spans="1:24" x14ac:dyDescent="0.3">
      <c r="A207" s="2">
        <v>45314</v>
      </c>
      <c r="B207" s="1" t="s">
        <v>25</v>
      </c>
      <c r="C207" s="1" t="s">
        <v>35</v>
      </c>
      <c r="D207" s="1" t="s">
        <v>32</v>
      </c>
      <c r="E207" s="1" t="s">
        <v>28</v>
      </c>
      <c r="F207" s="1">
        <v>39</v>
      </c>
      <c r="G207" s="1" t="str" cm="1">
        <f t="array" ref="G207">_xlfn.IFS(F207&lt;=25,"YOUTH",F207&lt;=48,"ADULT",TRUE,"SENIOR")</f>
        <v>ADULT</v>
      </c>
      <c r="H207" s="1" t="s">
        <v>21</v>
      </c>
      <c r="I207" s="1" t="s">
        <v>43</v>
      </c>
      <c r="J207" s="1" t="s">
        <v>23</v>
      </c>
      <c r="K207" s="1" t="s">
        <v>39</v>
      </c>
      <c r="L207" s="1">
        <v>26557</v>
      </c>
      <c r="M207" s="3">
        <f t="shared" si="9"/>
        <v>8.1748691493768122E-2</v>
      </c>
      <c r="N207" s="1">
        <v>2171</v>
      </c>
      <c r="O207" s="4">
        <f t="shared" si="10"/>
        <v>16.9609375</v>
      </c>
      <c r="P207" s="1">
        <v>128</v>
      </c>
      <c r="Q207" s="1">
        <v>1998.3978179779399</v>
      </c>
      <c r="R207" s="1">
        <v>6868.05845753417</v>
      </c>
      <c r="S207" s="5">
        <f t="shared" si="11"/>
        <v>6867.05845753417</v>
      </c>
      <c r="T207" s="1">
        <v>409</v>
      </c>
      <c r="U207" s="1">
        <v>60</v>
      </c>
      <c r="V207" s="1">
        <v>28</v>
      </c>
      <c r="W207" s="1">
        <v>4707</v>
      </c>
      <c r="X207" s="1">
        <v>0.60594743264613904</v>
      </c>
    </row>
    <row r="208" spans="1:24" x14ac:dyDescent="0.3">
      <c r="A208" s="2">
        <v>45307</v>
      </c>
      <c r="B208" s="1" t="s">
        <v>34</v>
      </c>
      <c r="C208" s="1" t="s">
        <v>35</v>
      </c>
      <c r="D208" s="1" t="s">
        <v>32</v>
      </c>
      <c r="E208" s="1" t="s">
        <v>20</v>
      </c>
      <c r="F208" s="1">
        <v>28</v>
      </c>
      <c r="G208" s="1" t="str" cm="1">
        <f t="array" ref="G208">_xlfn.IFS(F208&lt;=25,"YOUTH",F208&lt;=48,"ADULT",TRUE,"SENIOR")</f>
        <v>ADULT</v>
      </c>
      <c r="H208" s="1" t="s">
        <v>21</v>
      </c>
      <c r="I208" s="1" t="s">
        <v>33</v>
      </c>
      <c r="J208" s="1" t="s">
        <v>23</v>
      </c>
      <c r="K208" s="1" t="s">
        <v>24</v>
      </c>
      <c r="L208" s="1">
        <v>8737</v>
      </c>
      <c r="M208" s="3">
        <f t="shared" si="9"/>
        <v>0.14078058830262102</v>
      </c>
      <c r="N208" s="1">
        <v>1230</v>
      </c>
      <c r="O208" s="4">
        <f t="shared" si="10"/>
        <v>7.4545454545454541</v>
      </c>
      <c r="P208" s="1">
        <v>165</v>
      </c>
      <c r="Q208" s="1">
        <v>334.637446369293</v>
      </c>
      <c r="R208" s="1">
        <v>5513.1578358616298</v>
      </c>
      <c r="S208" s="5">
        <f t="shared" si="11"/>
        <v>5512.1578358616298</v>
      </c>
      <c r="T208" s="1">
        <v>81</v>
      </c>
      <c r="U208" s="1">
        <v>12</v>
      </c>
      <c r="V208" s="1">
        <v>2</v>
      </c>
      <c r="W208" s="1">
        <v>172</v>
      </c>
      <c r="X208" s="1">
        <v>0.94437592862404895</v>
      </c>
    </row>
    <row r="209" spans="1:24" x14ac:dyDescent="0.3">
      <c r="A209" s="2">
        <v>45304</v>
      </c>
      <c r="B209" s="1" t="s">
        <v>40</v>
      </c>
      <c r="C209" s="1" t="s">
        <v>41</v>
      </c>
      <c r="D209" s="1" t="s">
        <v>19</v>
      </c>
      <c r="E209" s="1" t="s">
        <v>20</v>
      </c>
      <c r="F209" s="1">
        <v>33</v>
      </c>
      <c r="G209" s="1" t="str" cm="1">
        <f t="array" ref="G209">_xlfn.IFS(F209&lt;=25,"YOUTH",F209&lt;=48,"ADULT",TRUE,"SENIOR")</f>
        <v>ADULT</v>
      </c>
      <c r="H209" s="1" t="s">
        <v>29</v>
      </c>
      <c r="I209" s="1" t="s">
        <v>43</v>
      </c>
      <c r="J209" s="1" t="s">
        <v>30</v>
      </c>
      <c r="K209" s="1" t="s">
        <v>39</v>
      </c>
      <c r="L209" s="1">
        <v>47792</v>
      </c>
      <c r="M209" s="3">
        <f t="shared" si="9"/>
        <v>8.3172915969199859E-2</v>
      </c>
      <c r="N209" s="1">
        <v>3975</v>
      </c>
      <c r="O209" s="4">
        <f t="shared" si="10"/>
        <v>6.390675241157556</v>
      </c>
      <c r="P209" s="1">
        <v>622</v>
      </c>
      <c r="Q209" s="1">
        <v>4144.5707188924098</v>
      </c>
      <c r="R209" s="1">
        <v>31624.61692</v>
      </c>
      <c r="S209" s="5">
        <f t="shared" si="11"/>
        <v>31623.61692</v>
      </c>
      <c r="T209" s="1">
        <v>377</v>
      </c>
      <c r="U209" s="1">
        <v>27</v>
      </c>
      <c r="V209" s="1">
        <v>26</v>
      </c>
      <c r="W209" s="1">
        <v>5517</v>
      </c>
      <c r="X209" s="1">
        <v>0.56620203049967899</v>
      </c>
    </row>
    <row r="210" spans="1:24" x14ac:dyDescent="0.3">
      <c r="A210" s="2">
        <v>45294</v>
      </c>
      <c r="B210" s="1" t="s">
        <v>25</v>
      </c>
      <c r="C210" s="1" t="s">
        <v>41</v>
      </c>
      <c r="D210" s="1" t="s">
        <v>36</v>
      </c>
      <c r="E210" s="1" t="s">
        <v>20</v>
      </c>
      <c r="F210" s="1">
        <v>50</v>
      </c>
      <c r="G210" s="1" t="str" cm="1">
        <f t="array" ref="G210">_xlfn.IFS(F210&lt;=25,"YOUTH",F210&lt;=48,"ADULT",TRUE,"SENIOR")</f>
        <v>SENIOR</v>
      </c>
      <c r="H210" s="1" t="s">
        <v>29</v>
      </c>
      <c r="I210" s="1" t="s">
        <v>43</v>
      </c>
      <c r="J210" s="1" t="s">
        <v>38</v>
      </c>
      <c r="K210" s="1" t="s">
        <v>31</v>
      </c>
      <c r="L210" s="1">
        <v>45768</v>
      </c>
      <c r="M210" s="3">
        <f t="shared" si="9"/>
        <v>5.0821534696731341E-2</v>
      </c>
      <c r="N210" s="1">
        <v>2326</v>
      </c>
      <c r="O210" s="4">
        <f t="shared" si="10"/>
        <v>18.608000000000001</v>
      </c>
      <c r="P210" s="1">
        <v>125</v>
      </c>
      <c r="Q210" s="1">
        <v>4408.9818637468898</v>
      </c>
      <c r="R210" s="1">
        <v>5235.8227569999999</v>
      </c>
      <c r="S210" s="5">
        <f t="shared" si="11"/>
        <v>5234.8227569999999</v>
      </c>
      <c r="T210" s="1">
        <v>891</v>
      </c>
      <c r="U210" s="1">
        <v>162</v>
      </c>
      <c r="V210" s="1">
        <v>21</v>
      </c>
      <c r="W210" s="1">
        <v>7237</v>
      </c>
      <c r="X210" s="1">
        <v>0.55264083559176502</v>
      </c>
    </row>
    <row r="211" spans="1:24" x14ac:dyDescent="0.3">
      <c r="A211" s="2">
        <v>45339</v>
      </c>
      <c r="B211" s="1" t="s">
        <v>25</v>
      </c>
      <c r="C211" s="1" t="s">
        <v>26</v>
      </c>
      <c r="D211" s="1" t="s">
        <v>19</v>
      </c>
      <c r="E211" s="1" t="s">
        <v>28</v>
      </c>
      <c r="F211" s="1">
        <v>26</v>
      </c>
      <c r="G211" s="1" t="str" cm="1">
        <f t="array" ref="G211">_xlfn.IFS(F211&lt;=25,"YOUTH",F211&lt;=48,"ADULT",TRUE,"SENIOR")</f>
        <v>ADULT</v>
      </c>
      <c r="H211" s="1" t="s">
        <v>29</v>
      </c>
      <c r="I211" s="1" t="s">
        <v>22</v>
      </c>
      <c r="J211" s="1" t="s">
        <v>23</v>
      </c>
      <c r="K211" s="1" t="s">
        <v>39</v>
      </c>
      <c r="L211" s="1">
        <v>42101</v>
      </c>
      <c r="M211" s="3">
        <f t="shared" si="9"/>
        <v>4.7362295432412535E-2</v>
      </c>
      <c r="N211" s="1">
        <v>1994</v>
      </c>
      <c r="O211" s="4">
        <f t="shared" si="10"/>
        <v>8.9819819819819813</v>
      </c>
      <c r="P211" s="1">
        <v>222</v>
      </c>
      <c r="Q211" s="1">
        <v>3449.90841533914</v>
      </c>
      <c r="R211" s="1">
        <v>14828.784982461901</v>
      </c>
      <c r="S211" s="5">
        <f t="shared" si="11"/>
        <v>14827.784982461901</v>
      </c>
      <c r="T211" s="1">
        <v>593</v>
      </c>
      <c r="U211" s="1">
        <v>44</v>
      </c>
      <c r="V211" s="1">
        <v>53</v>
      </c>
      <c r="W211" s="1">
        <v>1355</v>
      </c>
      <c r="X211" s="1">
        <v>0.875435195687156</v>
      </c>
    </row>
    <row r="212" spans="1:24" x14ac:dyDescent="0.3">
      <c r="A212" s="2">
        <v>45300</v>
      </c>
      <c r="B212" s="1" t="s">
        <v>40</v>
      </c>
      <c r="C212" s="1" t="s">
        <v>18</v>
      </c>
      <c r="D212" s="1" t="s">
        <v>19</v>
      </c>
      <c r="E212" s="1" t="s">
        <v>28</v>
      </c>
      <c r="F212" s="1">
        <v>23</v>
      </c>
      <c r="G212" s="1" t="str" cm="1">
        <f t="array" ref="G212">_xlfn.IFS(F212&lt;=25,"YOUTH",F212&lt;=48,"ADULT",TRUE,"SENIOR")</f>
        <v>YOUTH</v>
      </c>
      <c r="H212" s="1" t="s">
        <v>21</v>
      </c>
      <c r="I212" s="1" t="s">
        <v>33</v>
      </c>
      <c r="J212" s="1" t="s">
        <v>23</v>
      </c>
      <c r="K212" s="1" t="s">
        <v>31</v>
      </c>
      <c r="L212" s="1">
        <v>18276</v>
      </c>
      <c r="M212" s="3">
        <f t="shared" si="9"/>
        <v>0.14012913110089736</v>
      </c>
      <c r="N212" s="1">
        <v>2561</v>
      </c>
      <c r="O212" s="4">
        <f t="shared" si="10"/>
        <v>4.3927958833619209</v>
      </c>
      <c r="P212" s="1">
        <v>583</v>
      </c>
      <c r="Q212" s="1">
        <v>1139.3615432864899</v>
      </c>
      <c r="R212" s="1">
        <v>25568.473081031701</v>
      </c>
      <c r="S212" s="5">
        <f t="shared" si="11"/>
        <v>25567.473081031701</v>
      </c>
      <c r="T212" s="1">
        <v>128</v>
      </c>
      <c r="U212" s="1">
        <v>10</v>
      </c>
      <c r="V212" s="1">
        <v>7</v>
      </c>
      <c r="W212" s="1">
        <v>1587</v>
      </c>
      <c r="X212" s="1">
        <v>0.40185511895280501</v>
      </c>
    </row>
    <row r="213" spans="1:24" x14ac:dyDescent="0.3">
      <c r="A213" s="2">
        <v>45351</v>
      </c>
      <c r="B213" s="1" t="s">
        <v>40</v>
      </c>
      <c r="C213" s="1" t="s">
        <v>35</v>
      </c>
      <c r="D213" s="1" t="s">
        <v>36</v>
      </c>
      <c r="E213" s="1" t="s">
        <v>28</v>
      </c>
      <c r="F213" s="1">
        <v>33</v>
      </c>
      <c r="G213" s="1" t="str" cm="1">
        <f t="array" ref="G213">_xlfn.IFS(F213&lt;=25,"YOUTH",F213&lt;=48,"ADULT",TRUE,"SENIOR")</f>
        <v>ADULT</v>
      </c>
      <c r="H213" s="1" t="s">
        <v>21</v>
      </c>
      <c r="I213" s="1" t="s">
        <v>43</v>
      </c>
      <c r="J213" s="1" t="s">
        <v>38</v>
      </c>
      <c r="K213" s="1" t="s">
        <v>39</v>
      </c>
      <c r="L213" s="1">
        <v>8310</v>
      </c>
      <c r="M213" s="3">
        <f t="shared" si="9"/>
        <v>3.4055354993983156E-2</v>
      </c>
      <c r="N213" s="1">
        <v>283</v>
      </c>
      <c r="O213" s="4">
        <f t="shared" si="10"/>
        <v>4.0428571428571427</v>
      </c>
      <c r="P213" s="1">
        <v>70</v>
      </c>
      <c r="Q213" s="1">
        <v>945.79692235514995</v>
      </c>
      <c r="R213" s="1">
        <v>417.65383327211401</v>
      </c>
      <c r="S213" s="5">
        <f t="shared" si="11"/>
        <v>416.65383327211401</v>
      </c>
      <c r="T213" s="1">
        <v>225</v>
      </c>
      <c r="U213" s="1">
        <v>15</v>
      </c>
      <c r="V213" s="1">
        <v>17</v>
      </c>
      <c r="W213" s="1">
        <v>149</v>
      </c>
      <c r="X213" s="1">
        <v>0.51068923849769898</v>
      </c>
    </row>
    <row r="214" spans="1:24" x14ac:dyDescent="0.3">
      <c r="A214" s="2">
        <v>45305</v>
      </c>
      <c r="B214" s="1" t="s">
        <v>34</v>
      </c>
      <c r="C214" s="1" t="s">
        <v>41</v>
      </c>
      <c r="D214" s="1" t="s">
        <v>19</v>
      </c>
      <c r="E214" s="1" t="s">
        <v>28</v>
      </c>
      <c r="F214" s="1">
        <v>46</v>
      </c>
      <c r="G214" s="1" t="str" cm="1">
        <f t="array" ref="G214">_xlfn.IFS(F214&lt;=25,"YOUTH",F214&lt;=48,"ADULT",TRUE,"SENIOR")</f>
        <v>ADULT</v>
      </c>
      <c r="H214" s="1" t="s">
        <v>21</v>
      </c>
      <c r="I214" s="1" t="s">
        <v>37</v>
      </c>
      <c r="J214" s="1" t="s">
        <v>23</v>
      </c>
      <c r="K214" s="1" t="s">
        <v>39</v>
      </c>
      <c r="L214" s="1">
        <v>36167</v>
      </c>
      <c r="M214" s="3">
        <f t="shared" si="9"/>
        <v>9.1132800619349127E-2</v>
      </c>
      <c r="N214" s="1">
        <v>3296</v>
      </c>
      <c r="O214" s="4">
        <f t="shared" si="10"/>
        <v>4.0491400491400489</v>
      </c>
      <c r="P214" s="1">
        <v>814</v>
      </c>
      <c r="Q214" s="1">
        <v>1074.3774012448901</v>
      </c>
      <c r="R214" s="1">
        <v>22740.740615184299</v>
      </c>
      <c r="S214" s="5">
        <f t="shared" si="11"/>
        <v>22739.740615184299</v>
      </c>
      <c r="T214" s="1">
        <v>360</v>
      </c>
      <c r="U214" s="1">
        <v>41</v>
      </c>
      <c r="V214" s="1">
        <v>8</v>
      </c>
      <c r="W214" s="1">
        <v>5053</v>
      </c>
      <c r="X214" s="1">
        <v>0.724745678544086</v>
      </c>
    </row>
    <row r="215" spans="1:24" x14ac:dyDescent="0.3">
      <c r="A215" s="2">
        <v>45304</v>
      </c>
      <c r="B215" s="1" t="s">
        <v>34</v>
      </c>
      <c r="C215" s="1" t="s">
        <v>35</v>
      </c>
      <c r="D215" s="1" t="s">
        <v>36</v>
      </c>
      <c r="E215" s="1" t="s">
        <v>28</v>
      </c>
      <c r="F215" s="1">
        <v>20</v>
      </c>
      <c r="G215" s="1" t="str" cm="1">
        <f t="array" ref="G215">_xlfn.IFS(F215&lt;=25,"YOUTH",F215&lt;=48,"ADULT",TRUE,"SENIOR")</f>
        <v>YOUTH</v>
      </c>
      <c r="H215" s="1" t="s">
        <v>29</v>
      </c>
      <c r="I215" s="1" t="s">
        <v>43</v>
      </c>
      <c r="J215" s="1" t="s">
        <v>23</v>
      </c>
      <c r="K215" s="1" t="s">
        <v>31</v>
      </c>
      <c r="L215" s="1">
        <v>38408</v>
      </c>
      <c r="M215" s="3">
        <f t="shared" si="9"/>
        <v>8.7768173297229746E-2</v>
      </c>
      <c r="N215" s="1">
        <v>3371</v>
      </c>
      <c r="O215" s="4">
        <f t="shared" si="10"/>
        <v>4.4886817576564582</v>
      </c>
      <c r="P215" s="1">
        <v>751</v>
      </c>
      <c r="Q215" s="1">
        <v>5333.9973437967401</v>
      </c>
      <c r="R215" s="1">
        <v>10738.5072018228</v>
      </c>
      <c r="S215" s="5">
        <f t="shared" si="11"/>
        <v>10737.5072018228</v>
      </c>
      <c r="T215" s="1">
        <v>910</v>
      </c>
      <c r="U215" s="1">
        <v>166</v>
      </c>
      <c r="V215" s="1">
        <v>57</v>
      </c>
      <c r="W215" s="1">
        <v>2627</v>
      </c>
      <c r="X215" s="1">
        <v>0.48934779031456499</v>
      </c>
    </row>
    <row r="216" spans="1:24" x14ac:dyDescent="0.3">
      <c r="A216" s="2">
        <v>45344</v>
      </c>
      <c r="B216" s="1" t="s">
        <v>25</v>
      </c>
      <c r="C216" s="1" t="s">
        <v>41</v>
      </c>
      <c r="D216" s="1" t="s">
        <v>36</v>
      </c>
      <c r="E216" s="1" t="s">
        <v>20</v>
      </c>
      <c r="F216" s="1">
        <v>37</v>
      </c>
      <c r="G216" s="1" t="str" cm="1">
        <f t="array" ref="G216">_xlfn.IFS(F216&lt;=25,"YOUTH",F216&lt;=48,"ADULT",TRUE,"SENIOR")</f>
        <v>ADULT</v>
      </c>
      <c r="H216" s="1" t="s">
        <v>29</v>
      </c>
      <c r="I216" s="1" t="s">
        <v>22</v>
      </c>
      <c r="J216" s="1" t="s">
        <v>23</v>
      </c>
      <c r="K216" s="1" t="s">
        <v>31</v>
      </c>
      <c r="L216" s="1">
        <v>20344</v>
      </c>
      <c r="M216" s="3">
        <f t="shared" si="9"/>
        <v>0.11354699174203696</v>
      </c>
      <c r="N216" s="1">
        <v>2310</v>
      </c>
      <c r="O216" s="4">
        <f t="shared" si="10"/>
        <v>9.0588235294117645</v>
      </c>
      <c r="P216" s="1">
        <v>255</v>
      </c>
      <c r="Q216" s="1">
        <v>461.47611743555001</v>
      </c>
      <c r="R216" s="1">
        <v>16600.803206181899</v>
      </c>
      <c r="S216" s="5">
        <f t="shared" si="11"/>
        <v>16599.803206181899</v>
      </c>
      <c r="T216" s="1">
        <v>245</v>
      </c>
      <c r="U216" s="1">
        <v>21</v>
      </c>
      <c r="V216" s="1">
        <v>10</v>
      </c>
      <c r="W216" s="1">
        <v>2365</v>
      </c>
      <c r="X216" s="1">
        <v>0.94219215749797303</v>
      </c>
    </row>
    <row r="217" spans="1:24" x14ac:dyDescent="0.3">
      <c r="A217" s="2">
        <v>45348</v>
      </c>
      <c r="B217" s="1" t="s">
        <v>25</v>
      </c>
      <c r="C217" s="1" t="s">
        <v>26</v>
      </c>
      <c r="D217" s="1" t="s">
        <v>19</v>
      </c>
      <c r="E217" s="1" t="s">
        <v>20</v>
      </c>
      <c r="F217" s="1">
        <v>53</v>
      </c>
      <c r="G217" s="1" t="str" cm="1">
        <f t="array" ref="G217">_xlfn.IFS(F217&lt;=25,"YOUTH",F217&lt;=48,"ADULT",TRUE,"SENIOR")</f>
        <v>SENIOR</v>
      </c>
      <c r="H217" s="1" t="s">
        <v>29</v>
      </c>
      <c r="I217" s="1" t="s">
        <v>37</v>
      </c>
      <c r="J217" s="1" t="s">
        <v>23</v>
      </c>
      <c r="K217" s="1" t="s">
        <v>24</v>
      </c>
      <c r="L217" s="1">
        <v>11391</v>
      </c>
      <c r="M217" s="3">
        <f t="shared" si="9"/>
        <v>7.9887630585549999E-2</v>
      </c>
      <c r="N217" s="1">
        <v>910</v>
      </c>
      <c r="O217" s="4">
        <f t="shared" si="10"/>
        <v>5.6521739130434785</v>
      </c>
      <c r="P217" s="1">
        <v>161</v>
      </c>
      <c r="Q217" s="1">
        <v>1652.8969480994001</v>
      </c>
      <c r="R217" s="1">
        <v>1893.4903340933599</v>
      </c>
      <c r="S217" s="5">
        <f t="shared" si="11"/>
        <v>1892.4903340933599</v>
      </c>
      <c r="T217" s="1">
        <v>288</v>
      </c>
      <c r="U217" s="1">
        <v>30</v>
      </c>
      <c r="V217" s="1">
        <v>12</v>
      </c>
      <c r="W217" s="1">
        <v>2132</v>
      </c>
      <c r="X217" s="1">
        <v>0.65530759233189695</v>
      </c>
    </row>
    <row r="218" spans="1:24" x14ac:dyDescent="0.3">
      <c r="A218" s="2">
        <v>45298</v>
      </c>
      <c r="B218" s="1" t="s">
        <v>40</v>
      </c>
      <c r="C218" s="1" t="s">
        <v>26</v>
      </c>
      <c r="D218" s="1" t="s">
        <v>27</v>
      </c>
      <c r="E218" s="1" t="s">
        <v>20</v>
      </c>
      <c r="F218" s="1">
        <v>36</v>
      </c>
      <c r="G218" s="1" t="str" cm="1">
        <f t="array" ref="G218">_xlfn.IFS(F218&lt;=25,"YOUTH",F218&lt;=48,"ADULT",TRUE,"SENIOR")</f>
        <v>ADULT</v>
      </c>
      <c r="H218" s="1" t="s">
        <v>42</v>
      </c>
      <c r="I218" s="1" t="s">
        <v>22</v>
      </c>
      <c r="J218" s="1" t="s">
        <v>23</v>
      </c>
      <c r="K218" s="1" t="s">
        <v>39</v>
      </c>
      <c r="L218" s="1">
        <v>11892</v>
      </c>
      <c r="M218" s="3">
        <f t="shared" si="9"/>
        <v>4.8099562731247901E-2</v>
      </c>
      <c r="N218" s="1">
        <v>572</v>
      </c>
      <c r="O218" s="4">
        <f t="shared" si="10"/>
        <v>8.6666666666666661</v>
      </c>
      <c r="P218" s="1">
        <v>66</v>
      </c>
      <c r="Q218" s="1">
        <v>952.62326482095</v>
      </c>
      <c r="R218" s="1">
        <v>1993.2615848323601</v>
      </c>
      <c r="S218" s="5">
        <f t="shared" si="11"/>
        <v>1992.2615848323601</v>
      </c>
      <c r="T218" s="1">
        <v>94</v>
      </c>
      <c r="U218" s="1">
        <v>16</v>
      </c>
      <c r="V218" s="1">
        <v>4</v>
      </c>
      <c r="W218" s="1">
        <v>810</v>
      </c>
      <c r="X218" s="1">
        <v>0.72855024122830203</v>
      </c>
    </row>
    <row r="219" spans="1:24" x14ac:dyDescent="0.3">
      <c r="A219" s="2">
        <v>45306</v>
      </c>
      <c r="B219" s="1" t="s">
        <v>25</v>
      </c>
      <c r="C219" s="1" t="s">
        <v>35</v>
      </c>
      <c r="D219" s="1" t="s">
        <v>36</v>
      </c>
      <c r="E219" s="1" t="s">
        <v>20</v>
      </c>
      <c r="F219" s="1">
        <v>43</v>
      </c>
      <c r="G219" s="1" t="str" cm="1">
        <f t="array" ref="G219">_xlfn.IFS(F219&lt;=25,"YOUTH",F219&lt;=48,"ADULT",TRUE,"SENIOR")</f>
        <v>ADULT</v>
      </c>
      <c r="H219" s="1" t="s">
        <v>29</v>
      </c>
      <c r="I219" s="1" t="s">
        <v>43</v>
      </c>
      <c r="J219" s="1" t="s">
        <v>23</v>
      </c>
      <c r="K219" s="1" t="s">
        <v>31</v>
      </c>
      <c r="L219" s="1">
        <v>12197</v>
      </c>
      <c r="M219" s="3">
        <f t="shared" si="9"/>
        <v>3.3696810691153566E-2</v>
      </c>
      <c r="N219" s="1">
        <v>411</v>
      </c>
      <c r="O219" s="4">
        <f t="shared" si="10"/>
        <v>5.9565217391304346</v>
      </c>
      <c r="P219" s="1">
        <v>69</v>
      </c>
      <c r="Q219" s="1">
        <v>898.273589911454</v>
      </c>
      <c r="R219" s="1">
        <v>1359.05488341571</v>
      </c>
      <c r="S219" s="5">
        <f t="shared" si="11"/>
        <v>1358.05488341571</v>
      </c>
      <c r="T219" s="1">
        <v>291</v>
      </c>
      <c r="U219" s="1">
        <v>41</v>
      </c>
      <c r="V219" s="1">
        <v>5</v>
      </c>
      <c r="W219" s="1">
        <v>234</v>
      </c>
      <c r="X219" s="1">
        <v>0.48820540580785599</v>
      </c>
    </row>
    <row r="220" spans="1:24" x14ac:dyDescent="0.3">
      <c r="A220" s="2">
        <v>45298</v>
      </c>
      <c r="B220" s="1" t="s">
        <v>25</v>
      </c>
      <c r="C220" s="1" t="s">
        <v>26</v>
      </c>
      <c r="D220" s="1" t="s">
        <v>19</v>
      </c>
      <c r="E220" s="1" t="s">
        <v>28</v>
      </c>
      <c r="F220" s="1">
        <v>20</v>
      </c>
      <c r="G220" s="1" t="str" cm="1">
        <f t="array" ref="G220">_xlfn.IFS(F220&lt;=25,"YOUTH",F220&lt;=48,"ADULT",TRUE,"SENIOR")</f>
        <v>YOUTH</v>
      </c>
      <c r="H220" s="1" t="s">
        <v>29</v>
      </c>
      <c r="I220" s="1" t="s">
        <v>37</v>
      </c>
      <c r="J220" s="1" t="s">
        <v>23</v>
      </c>
      <c r="K220" s="1" t="s">
        <v>39</v>
      </c>
      <c r="L220" s="1">
        <v>14050</v>
      </c>
      <c r="M220" s="3">
        <f t="shared" si="9"/>
        <v>9.6868327402135232E-2</v>
      </c>
      <c r="N220" s="1">
        <v>1361</v>
      </c>
      <c r="O220" s="4">
        <f t="shared" si="10"/>
        <v>10.975806451612904</v>
      </c>
      <c r="P220" s="1">
        <v>124</v>
      </c>
      <c r="Q220" s="1">
        <v>749.39499790000002</v>
      </c>
      <c r="R220" s="1">
        <v>7444.5792425976697</v>
      </c>
      <c r="S220" s="5">
        <f t="shared" si="11"/>
        <v>7443.5792425976697</v>
      </c>
      <c r="T220" s="1">
        <v>104</v>
      </c>
      <c r="U220" s="1">
        <v>16</v>
      </c>
      <c r="V220" s="1">
        <v>5</v>
      </c>
      <c r="W220" s="1">
        <v>1944</v>
      </c>
      <c r="X220" s="1">
        <v>0.55915795547956004</v>
      </c>
    </row>
    <row r="221" spans="1:24" x14ac:dyDescent="0.3">
      <c r="A221" s="2">
        <v>45329</v>
      </c>
      <c r="B221" s="1" t="s">
        <v>40</v>
      </c>
      <c r="C221" s="1" t="s">
        <v>35</v>
      </c>
      <c r="D221" s="1" t="s">
        <v>36</v>
      </c>
      <c r="E221" s="1" t="s">
        <v>28</v>
      </c>
      <c r="F221" s="1">
        <v>36</v>
      </c>
      <c r="G221" s="1" t="str" cm="1">
        <f t="array" ref="G221">_xlfn.IFS(F221&lt;=25,"YOUTH",F221&lt;=48,"ADULT",TRUE,"SENIOR")</f>
        <v>ADULT</v>
      </c>
      <c r="H221" s="1" t="s">
        <v>29</v>
      </c>
      <c r="I221" s="1" t="s">
        <v>33</v>
      </c>
      <c r="J221" s="1" t="s">
        <v>38</v>
      </c>
      <c r="K221" s="1" t="s">
        <v>39</v>
      </c>
      <c r="L221" s="1">
        <v>37142</v>
      </c>
      <c r="M221" s="3">
        <f t="shared" si="9"/>
        <v>0.11065639976307146</v>
      </c>
      <c r="N221" s="1">
        <v>4110</v>
      </c>
      <c r="O221" s="4">
        <f t="shared" si="10"/>
        <v>6.2748091603053435</v>
      </c>
      <c r="P221" s="1">
        <v>655</v>
      </c>
      <c r="Q221" s="1">
        <v>791.4680717</v>
      </c>
      <c r="R221" s="1">
        <v>16412.218634848101</v>
      </c>
      <c r="S221" s="5">
        <f t="shared" si="11"/>
        <v>16411.218634848101</v>
      </c>
      <c r="T221" s="1">
        <v>600</v>
      </c>
      <c r="U221" s="1">
        <v>49</v>
      </c>
      <c r="V221" s="1">
        <v>35</v>
      </c>
      <c r="W221" s="1">
        <v>5924</v>
      </c>
      <c r="X221" s="1">
        <v>0.73804363047367805</v>
      </c>
    </row>
    <row r="222" spans="1:24" x14ac:dyDescent="0.3">
      <c r="A222" s="2">
        <v>45325</v>
      </c>
      <c r="B222" s="1" t="s">
        <v>25</v>
      </c>
      <c r="C222" s="1" t="s">
        <v>41</v>
      </c>
      <c r="D222" s="1" t="s">
        <v>27</v>
      </c>
      <c r="E222" s="1" t="s">
        <v>20</v>
      </c>
      <c r="F222" s="1">
        <v>37</v>
      </c>
      <c r="G222" s="1" t="str" cm="1">
        <f t="array" ref="G222">_xlfn.IFS(F222&lt;=25,"YOUTH",F222&lt;=48,"ADULT",TRUE,"SENIOR")</f>
        <v>ADULT</v>
      </c>
      <c r="H222" s="1" t="s">
        <v>21</v>
      </c>
      <c r="I222" s="1" t="s">
        <v>33</v>
      </c>
      <c r="J222" s="1" t="s">
        <v>23</v>
      </c>
      <c r="K222" s="1" t="s">
        <v>39</v>
      </c>
      <c r="L222" s="1">
        <v>46679</v>
      </c>
      <c r="M222" s="3">
        <f t="shared" si="9"/>
        <v>8.9719145654362772E-2</v>
      </c>
      <c r="N222" s="1">
        <v>4188</v>
      </c>
      <c r="O222" s="4">
        <f t="shared" si="10"/>
        <v>7.1224489795918364</v>
      </c>
      <c r="P222" s="1">
        <v>588</v>
      </c>
      <c r="Q222" s="1">
        <v>2601.0815178828698</v>
      </c>
      <c r="R222" s="1">
        <v>40850.168925711798</v>
      </c>
      <c r="S222" s="5">
        <f t="shared" si="11"/>
        <v>40849.168925711798</v>
      </c>
      <c r="T222" s="1">
        <v>1089</v>
      </c>
      <c r="U222" s="1">
        <v>171</v>
      </c>
      <c r="V222" s="1">
        <v>96</v>
      </c>
      <c r="W222" s="1">
        <v>8962</v>
      </c>
      <c r="X222" s="1">
        <v>0.70225435530751801</v>
      </c>
    </row>
    <row r="223" spans="1:24" x14ac:dyDescent="0.3">
      <c r="A223" s="2">
        <v>45332</v>
      </c>
      <c r="B223" s="1" t="s">
        <v>25</v>
      </c>
      <c r="C223" s="1" t="s">
        <v>18</v>
      </c>
      <c r="D223" s="1" t="s">
        <v>27</v>
      </c>
      <c r="E223" s="1" t="s">
        <v>28</v>
      </c>
      <c r="F223" s="1">
        <v>49</v>
      </c>
      <c r="G223" s="1" t="str" cm="1">
        <f t="array" ref="G223">_xlfn.IFS(F223&lt;=25,"YOUTH",F223&lt;=48,"ADULT",TRUE,"SENIOR")</f>
        <v>SENIOR</v>
      </c>
      <c r="H223" s="1" t="s">
        <v>42</v>
      </c>
      <c r="I223" s="1" t="s">
        <v>37</v>
      </c>
      <c r="J223" s="1" t="s">
        <v>38</v>
      </c>
      <c r="K223" s="1" t="s">
        <v>24</v>
      </c>
      <c r="L223" s="1">
        <v>42615</v>
      </c>
      <c r="M223" s="3">
        <f t="shared" si="9"/>
        <v>0.1133638390238179</v>
      </c>
      <c r="N223" s="1">
        <v>4831</v>
      </c>
      <c r="O223" s="4">
        <f t="shared" si="10"/>
        <v>39.27642276422764</v>
      </c>
      <c r="P223" s="1">
        <v>123</v>
      </c>
      <c r="Q223" s="1">
        <v>1458.37011705397</v>
      </c>
      <c r="R223" s="1">
        <v>923.73976186994503</v>
      </c>
      <c r="S223" s="5">
        <f t="shared" si="11"/>
        <v>922.73976186994503</v>
      </c>
      <c r="T223" s="1">
        <v>397</v>
      </c>
      <c r="U223" s="1">
        <v>33</v>
      </c>
      <c r="V223" s="1">
        <v>22</v>
      </c>
      <c r="W223" s="1">
        <v>1703</v>
      </c>
      <c r="X223" s="1">
        <v>0.83140016999264099</v>
      </c>
    </row>
    <row r="224" spans="1:24" x14ac:dyDescent="0.3">
      <c r="A224" s="2">
        <v>45313</v>
      </c>
      <c r="B224" s="1" t="s">
        <v>17</v>
      </c>
      <c r="C224" s="1" t="s">
        <v>26</v>
      </c>
      <c r="D224" s="1" t="s">
        <v>32</v>
      </c>
      <c r="E224" s="1" t="s">
        <v>20</v>
      </c>
      <c r="F224" s="1">
        <v>24</v>
      </c>
      <c r="G224" s="1" t="str" cm="1">
        <f t="array" ref="G224">_xlfn.IFS(F224&lt;=25,"YOUTH",F224&lt;=48,"ADULT",TRUE,"SENIOR")</f>
        <v>YOUTH</v>
      </c>
      <c r="H224" s="1" t="s">
        <v>21</v>
      </c>
      <c r="I224" s="1" t="s">
        <v>37</v>
      </c>
      <c r="J224" s="1" t="s">
        <v>38</v>
      </c>
      <c r="K224" s="1" t="s">
        <v>39</v>
      </c>
      <c r="L224" s="1">
        <v>48553</v>
      </c>
      <c r="M224" s="3">
        <f t="shared" si="9"/>
        <v>2.9802483883591128E-2</v>
      </c>
      <c r="N224" s="1">
        <v>1447</v>
      </c>
      <c r="O224" s="4">
        <f t="shared" si="10"/>
        <v>4.9554794520547949</v>
      </c>
      <c r="P224" s="1">
        <v>292</v>
      </c>
      <c r="Q224" s="1">
        <v>5135.7765787880098</v>
      </c>
      <c r="R224" s="1">
        <v>3894.6931410000002</v>
      </c>
      <c r="S224" s="5">
        <f t="shared" si="11"/>
        <v>3893.6931410000002</v>
      </c>
      <c r="T224" s="1">
        <v>589</v>
      </c>
      <c r="U224" s="1">
        <v>116</v>
      </c>
      <c r="V224" s="1">
        <v>28</v>
      </c>
      <c r="W224" s="1">
        <v>4103</v>
      </c>
      <c r="X224" s="1">
        <v>0.54807824821587303</v>
      </c>
    </row>
    <row r="225" spans="1:24" x14ac:dyDescent="0.3">
      <c r="A225" s="2">
        <v>45315</v>
      </c>
      <c r="B225" s="1" t="s">
        <v>34</v>
      </c>
      <c r="C225" s="1" t="s">
        <v>41</v>
      </c>
      <c r="D225" s="1" t="s">
        <v>36</v>
      </c>
      <c r="E225" s="1" t="s">
        <v>20</v>
      </c>
      <c r="F225" s="1">
        <v>58</v>
      </c>
      <c r="G225" s="1" t="str" cm="1">
        <f t="array" ref="G225">_xlfn.IFS(F225&lt;=25,"YOUTH",F225&lt;=48,"ADULT",TRUE,"SENIOR")</f>
        <v>SENIOR</v>
      </c>
      <c r="H225" s="1" t="s">
        <v>21</v>
      </c>
      <c r="I225" s="1" t="s">
        <v>22</v>
      </c>
      <c r="J225" s="1" t="s">
        <v>23</v>
      </c>
      <c r="K225" s="1" t="s">
        <v>31</v>
      </c>
      <c r="L225" s="1">
        <v>44728</v>
      </c>
      <c r="M225" s="3">
        <f t="shared" si="9"/>
        <v>0.13354051153639779</v>
      </c>
      <c r="N225" s="1">
        <v>5973</v>
      </c>
      <c r="O225" s="4">
        <f t="shared" si="10"/>
        <v>44.244444444444447</v>
      </c>
      <c r="P225" s="1">
        <v>135</v>
      </c>
      <c r="Q225" s="1">
        <v>2749.8660970549799</v>
      </c>
      <c r="R225" s="1">
        <v>2646.2052631654301</v>
      </c>
      <c r="S225" s="5">
        <f t="shared" si="11"/>
        <v>2645.2052631654301</v>
      </c>
      <c r="T225" s="1">
        <v>1190</v>
      </c>
      <c r="U225" s="1">
        <v>159</v>
      </c>
      <c r="V225" s="1">
        <v>118</v>
      </c>
      <c r="W225" s="1">
        <v>7621</v>
      </c>
      <c r="X225" s="1">
        <v>0.75944818068859299</v>
      </c>
    </row>
    <row r="226" spans="1:24" x14ac:dyDescent="0.3">
      <c r="A226" s="2">
        <v>45340</v>
      </c>
      <c r="B226" s="1" t="s">
        <v>40</v>
      </c>
      <c r="C226" s="1" t="s">
        <v>18</v>
      </c>
      <c r="D226" s="1" t="s">
        <v>36</v>
      </c>
      <c r="E226" s="1" t="s">
        <v>20</v>
      </c>
      <c r="F226" s="1">
        <v>50</v>
      </c>
      <c r="G226" s="1" t="str" cm="1">
        <f t="array" ref="G226">_xlfn.IFS(F226&lt;=25,"YOUTH",F226&lt;=48,"ADULT",TRUE,"SENIOR")</f>
        <v>SENIOR</v>
      </c>
      <c r="H226" s="1" t="s">
        <v>21</v>
      </c>
      <c r="I226" s="1" t="s">
        <v>37</v>
      </c>
      <c r="J226" s="1" t="s">
        <v>23</v>
      </c>
      <c r="K226" s="1" t="s">
        <v>24</v>
      </c>
      <c r="L226" s="1">
        <v>14535</v>
      </c>
      <c r="M226" s="3">
        <f t="shared" si="9"/>
        <v>9.1503267973856203E-2</v>
      </c>
      <c r="N226" s="1">
        <v>1330</v>
      </c>
      <c r="O226" s="4">
        <f t="shared" si="10"/>
        <v>11.46551724137931</v>
      </c>
      <c r="P226" s="1">
        <v>116</v>
      </c>
      <c r="Q226" s="1">
        <v>1740.3236999851299</v>
      </c>
      <c r="R226" s="1">
        <v>6695.7395431092</v>
      </c>
      <c r="S226" s="5">
        <f t="shared" si="11"/>
        <v>6694.7395431092</v>
      </c>
      <c r="T226" s="1">
        <v>394</v>
      </c>
      <c r="U226" s="1">
        <v>60</v>
      </c>
      <c r="V226" s="1">
        <v>25</v>
      </c>
      <c r="W226" s="1">
        <v>2373</v>
      </c>
      <c r="X226" s="1">
        <v>0.56003652800000003</v>
      </c>
    </row>
    <row r="227" spans="1:24" x14ac:dyDescent="0.3">
      <c r="A227" s="2">
        <v>45328</v>
      </c>
      <c r="B227" s="1" t="s">
        <v>17</v>
      </c>
      <c r="C227" s="1" t="s">
        <v>18</v>
      </c>
      <c r="D227" s="1" t="s">
        <v>19</v>
      </c>
      <c r="E227" s="1" t="s">
        <v>20</v>
      </c>
      <c r="F227" s="1">
        <v>57</v>
      </c>
      <c r="G227" s="1" t="str" cm="1">
        <f t="array" ref="G227">_xlfn.IFS(F227&lt;=25,"YOUTH",F227&lt;=48,"ADULT",TRUE,"SENIOR")</f>
        <v>SENIOR</v>
      </c>
      <c r="H227" s="1" t="s">
        <v>29</v>
      </c>
      <c r="I227" s="1" t="s">
        <v>22</v>
      </c>
      <c r="J227" s="1" t="s">
        <v>23</v>
      </c>
      <c r="K227" s="1" t="s">
        <v>24</v>
      </c>
      <c r="L227" s="1">
        <v>42002</v>
      </c>
      <c r="M227" s="3">
        <f t="shared" si="9"/>
        <v>2.7736774439312415E-2</v>
      </c>
      <c r="N227" s="1">
        <v>1165</v>
      </c>
      <c r="O227" s="4">
        <f t="shared" si="10"/>
        <v>48.541666666666664</v>
      </c>
      <c r="P227" s="1">
        <v>24</v>
      </c>
      <c r="Q227" s="1">
        <v>1969.8561811185</v>
      </c>
      <c r="R227" s="1">
        <v>1490.4868461398601</v>
      </c>
      <c r="S227" s="5">
        <f t="shared" si="11"/>
        <v>1489.4868461398601</v>
      </c>
      <c r="T227" s="1">
        <v>257</v>
      </c>
      <c r="U227" s="1">
        <v>17</v>
      </c>
      <c r="V227" s="1">
        <v>14</v>
      </c>
      <c r="W227" s="1">
        <v>5406</v>
      </c>
      <c r="X227" s="1">
        <v>0.722713940860366</v>
      </c>
    </row>
    <row r="228" spans="1:24" x14ac:dyDescent="0.3">
      <c r="A228" s="2">
        <v>45335</v>
      </c>
      <c r="B228" s="1" t="s">
        <v>34</v>
      </c>
      <c r="C228" s="1" t="s">
        <v>18</v>
      </c>
      <c r="D228" s="1" t="s">
        <v>36</v>
      </c>
      <c r="E228" s="1" t="s">
        <v>28</v>
      </c>
      <c r="F228" s="1">
        <v>56</v>
      </c>
      <c r="G228" s="1" t="str" cm="1">
        <f t="array" ref="G228">_xlfn.IFS(F228&lt;=25,"YOUTH",F228&lt;=48,"ADULT",TRUE,"SENIOR")</f>
        <v>SENIOR</v>
      </c>
      <c r="H228" s="1" t="s">
        <v>42</v>
      </c>
      <c r="I228" s="1" t="s">
        <v>43</v>
      </c>
      <c r="J228" s="1" t="s">
        <v>23</v>
      </c>
      <c r="K228" s="1" t="s">
        <v>31</v>
      </c>
      <c r="L228" s="1">
        <v>44271</v>
      </c>
      <c r="M228" s="3">
        <f t="shared" si="9"/>
        <v>7.4653836597321041E-2</v>
      </c>
      <c r="N228" s="1">
        <v>3305</v>
      </c>
      <c r="O228" s="4">
        <f t="shared" si="10"/>
        <v>9.389204545454545</v>
      </c>
      <c r="P228" s="1">
        <v>352</v>
      </c>
      <c r="Q228" s="1">
        <v>6066.4786590000003</v>
      </c>
      <c r="R228" s="1">
        <v>3394.8075883435799</v>
      </c>
      <c r="S228" s="5">
        <f t="shared" si="11"/>
        <v>3393.8075883435799</v>
      </c>
      <c r="T228" s="1">
        <v>407</v>
      </c>
      <c r="U228" s="1">
        <v>35</v>
      </c>
      <c r="V228" s="1">
        <v>24</v>
      </c>
      <c r="W228" s="1">
        <v>2708</v>
      </c>
      <c r="X228" s="1">
        <v>0.73276703222686401</v>
      </c>
    </row>
    <row r="229" spans="1:24" x14ac:dyDescent="0.3">
      <c r="A229" s="2">
        <v>45292</v>
      </c>
      <c r="B229" s="1" t="s">
        <v>34</v>
      </c>
      <c r="C229" s="1" t="s">
        <v>41</v>
      </c>
      <c r="D229" s="1" t="s">
        <v>32</v>
      </c>
      <c r="E229" s="1" t="s">
        <v>20</v>
      </c>
      <c r="F229" s="1">
        <v>35</v>
      </c>
      <c r="G229" s="1" t="str" cm="1">
        <f t="array" ref="G229">_xlfn.IFS(F229&lt;=25,"YOUTH",F229&lt;=48,"ADULT",TRUE,"SENIOR")</f>
        <v>ADULT</v>
      </c>
      <c r="H229" s="1" t="s">
        <v>21</v>
      </c>
      <c r="I229" s="1" t="s">
        <v>22</v>
      </c>
      <c r="J229" s="1" t="s">
        <v>38</v>
      </c>
      <c r="K229" s="1" t="s">
        <v>31</v>
      </c>
      <c r="L229" s="1">
        <v>6122</v>
      </c>
      <c r="M229" s="3">
        <f t="shared" si="9"/>
        <v>0.12822606991179353</v>
      </c>
      <c r="N229" s="1">
        <v>785</v>
      </c>
      <c r="O229" s="4">
        <f t="shared" si="10"/>
        <v>29.074074074074073</v>
      </c>
      <c r="P229" s="1">
        <v>27</v>
      </c>
      <c r="Q229" s="1">
        <v>538.66006861212702</v>
      </c>
      <c r="R229" s="1">
        <v>191.96754879279499</v>
      </c>
      <c r="S229" s="5">
        <f t="shared" si="11"/>
        <v>190.96754879279499</v>
      </c>
      <c r="T229" s="1">
        <v>48</v>
      </c>
      <c r="U229" s="1">
        <v>3</v>
      </c>
      <c r="V229" s="1">
        <v>4</v>
      </c>
      <c r="W229" s="1">
        <v>391</v>
      </c>
      <c r="X229" s="1">
        <v>0.46701151124496798</v>
      </c>
    </row>
    <row r="230" spans="1:24" x14ac:dyDescent="0.3">
      <c r="A230" s="2">
        <v>45301</v>
      </c>
      <c r="B230" s="1" t="s">
        <v>34</v>
      </c>
      <c r="C230" s="1" t="s">
        <v>41</v>
      </c>
      <c r="D230" s="1" t="s">
        <v>27</v>
      </c>
      <c r="E230" s="1" t="s">
        <v>28</v>
      </c>
      <c r="F230" s="1">
        <v>57</v>
      </c>
      <c r="G230" s="1" t="str" cm="1">
        <f t="array" ref="G230">_xlfn.IFS(F230&lt;=25,"YOUTH",F230&lt;=48,"ADULT",TRUE,"SENIOR")</f>
        <v>SENIOR</v>
      </c>
      <c r="H230" s="1" t="s">
        <v>21</v>
      </c>
      <c r="I230" s="1" t="s">
        <v>37</v>
      </c>
      <c r="J230" s="1" t="s">
        <v>23</v>
      </c>
      <c r="K230" s="1" t="s">
        <v>31</v>
      </c>
      <c r="L230" s="1">
        <v>10852</v>
      </c>
      <c r="M230" s="3">
        <f t="shared" si="9"/>
        <v>0.13564319941024697</v>
      </c>
      <c r="N230" s="1">
        <v>1472</v>
      </c>
      <c r="O230" s="4">
        <f t="shared" si="10"/>
        <v>4.3550295857988166</v>
      </c>
      <c r="P230" s="1">
        <v>338</v>
      </c>
      <c r="Q230" s="1">
        <v>378.58076173057998</v>
      </c>
      <c r="R230" s="1">
        <v>18047.9141505876</v>
      </c>
      <c r="S230" s="5">
        <f t="shared" si="11"/>
        <v>18046.9141505876</v>
      </c>
      <c r="T230" s="1">
        <v>103</v>
      </c>
      <c r="U230" s="1">
        <v>11</v>
      </c>
      <c r="V230" s="1">
        <v>4</v>
      </c>
      <c r="W230" s="1">
        <v>364</v>
      </c>
      <c r="X230" s="1">
        <v>0.70174821087744599</v>
      </c>
    </row>
    <row r="231" spans="1:24" x14ac:dyDescent="0.3">
      <c r="A231" s="2">
        <v>45334</v>
      </c>
      <c r="B231" s="1" t="s">
        <v>17</v>
      </c>
      <c r="C231" s="1" t="s">
        <v>35</v>
      </c>
      <c r="D231" s="1" t="s">
        <v>27</v>
      </c>
      <c r="E231" s="1" t="s">
        <v>20</v>
      </c>
      <c r="F231" s="1">
        <v>18</v>
      </c>
      <c r="G231" s="1" t="str" cm="1">
        <f t="array" ref="G231">_xlfn.IFS(F231&lt;=25,"YOUTH",F231&lt;=48,"ADULT",TRUE,"SENIOR")</f>
        <v>YOUTH</v>
      </c>
      <c r="H231" s="1" t="s">
        <v>21</v>
      </c>
      <c r="I231" s="1" t="s">
        <v>37</v>
      </c>
      <c r="J231" s="1" t="s">
        <v>30</v>
      </c>
      <c r="K231" s="1" t="s">
        <v>39</v>
      </c>
      <c r="L231" s="1">
        <v>6387</v>
      </c>
      <c r="M231" s="3">
        <f t="shared" si="9"/>
        <v>4.6970408642555188E-2</v>
      </c>
      <c r="N231" s="1">
        <v>300</v>
      </c>
      <c r="O231" s="4">
        <f t="shared" si="10"/>
        <v>8.8235294117647065</v>
      </c>
      <c r="P231" s="1">
        <v>34</v>
      </c>
      <c r="Q231" s="1">
        <v>460.56580761544001</v>
      </c>
      <c r="R231" s="1">
        <v>464.70793492548501</v>
      </c>
      <c r="S231" s="5">
        <f t="shared" si="11"/>
        <v>463.70793492548501</v>
      </c>
      <c r="T231" s="1">
        <v>186</v>
      </c>
      <c r="U231" s="1">
        <v>17</v>
      </c>
      <c r="V231" s="1">
        <v>9</v>
      </c>
      <c r="W231" s="1">
        <v>1182</v>
      </c>
      <c r="X231" s="1">
        <v>0.40656606497480002</v>
      </c>
    </row>
    <row r="232" spans="1:24" x14ac:dyDescent="0.3">
      <c r="A232" s="2">
        <v>45307</v>
      </c>
      <c r="B232" s="1" t="s">
        <v>17</v>
      </c>
      <c r="C232" s="1" t="s">
        <v>18</v>
      </c>
      <c r="D232" s="1" t="s">
        <v>32</v>
      </c>
      <c r="E232" s="1" t="s">
        <v>20</v>
      </c>
      <c r="F232" s="1">
        <v>28</v>
      </c>
      <c r="G232" s="1" t="str" cm="1">
        <f t="array" ref="G232">_xlfn.IFS(F232&lt;=25,"YOUTH",F232&lt;=48,"ADULT",TRUE,"SENIOR")</f>
        <v>ADULT</v>
      </c>
      <c r="H232" s="1" t="s">
        <v>21</v>
      </c>
      <c r="I232" s="1" t="s">
        <v>43</v>
      </c>
      <c r="J232" s="1" t="s">
        <v>23</v>
      </c>
      <c r="K232" s="1" t="s">
        <v>39</v>
      </c>
      <c r="L232" s="1">
        <v>32759</v>
      </c>
      <c r="M232" s="3">
        <f t="shared" si="9"/>
        <v>0.10955767880582436</v>
      </c>
      <c r="N232" s="1">
        <v>3589</v>
      </c>
      <c r="O232" s="4">
        <f t="shared" si="10"/>
        <v>7.9578713968957873</v>
      </c>
      <c r="P232" s="1">
        <v>451</v>
      </c>
      <c r="Q232" s="1">
        <v>1535.7048410401701</v>
      </c>
      <c r="R232" s="1">
        <v>6153.8535800930404</v>
      </c>
      <c r="S232" s="5">
        <f t="shared" si="11"/>
        <v>6152.8535800930404</v>
      </c>
      <c r="T232" s="1">
        <v>615</v>
      </c>
      <c r="U232" s="1">
        <v>98</v>
      </c>
      <c r="V232" s="1">
        <v>49</v>
      </c>
      <c r="W232" s="1">
        <v>1403</v>
      </c>
      <c r="X232" s="1">
        <v>0.67566591325608005</v>
      </c>
    </row>
    <row r="233" spans="1:24" x14ac:dyDescent="0.3">
      <c r="A233" s="2">
        <v>45337</v>
      </c>
      <c r="B233" s="1" t="s">
        <v>34</v>
      </c>
      <c r="C233" s="1" t="s">
        <v>18</v>
      </c>
      <c r="D233" s="1" t="s">
        <v>36</v>
      </c>
      <c r="E233" s="1" t="s">
        <v>20</v>
      </c>
      <c r="F233" s="1">
        <v>45</v>
      </c>
      <c r="G233" s="1" t="str" cm="1">
        <f t="array" ref="G233">_xlfn.IFS(F233&lt;=25,"YOUTH",F233&lt;=48,"ADULT",TRUE,"SENIOR")</f>
        <v>ADULT</v>
      </c>
      <c r="H233" s="1" t="s">
        <v>21</v>
      </c>
      <c r="I233" s="1" t="s">
        <v>37</v>
      </c>
      <c r="J233" s="1" t="s">
        <v>23</v>
      </c>
      <c r="K233" s="1" t="s">
        <v>39</v>
      </c>
      <c r="L233" s="1">
        <v>41399</v>
      </c>
      <c r="M233" s="3">
        <f t="shared" si="9"/>
        <v>2.3986086620449768E-2</v>
      </c>
      <c r="N233" s="1">
        <v>993</v>
      </c>
      <c r="O233" s="4">
        <f t="shared" si="10"/>
        <v>10.030303030303031</v>
      </c>
      <c r="P233" s="1">
        <v>99</v>
      </c>
      <c r="Q233" s="1">
        <v>1902.66100453173</v>
      </c>
      <c r="R233" s="1">
        <v>638.92864947165197</v>
      </c>
      <c r="S233" s="5">
        <f t="shared" si="11"/>
        <v>637.92864947165197</v>
      </c>
      <c r="T233" s="1">
        <v>691</v>
      </c>
      <c r="U233" s="1">
        <v>45</v>
      </c>
      <c r="V233" s="1">
        <v>17</v>
      </c>
      <c r="W233" s="1">
        <v>4920</v>
      </c>
      <c r="X233" s="1">
        <v>0.78363703873444102</v>
      </c>
    </row>
    <row r="234" spans="1:24" x14ac:dyDescent="0.3">
      <c r="A234" s="2">
        <v>45299</v>
      </c>
      <c r="B234" s="1" t="s">
        <v>25</v>
      </c>
      <c r="C234" s="1" t="s">
        <v>18</v>
      </c>
      <c r="D234" s="1" t="s">
        <v>36</v>
      </c>
      <c r="E234" s="1" t="s">
        <v>20</v>
      </c>
      <c r="F234" s="1">
        <v>42</v>
      </c>
      <c r="G234" s="1" t="str" cm="1">
        <f t="array" ref="G234">_xlfn.IFS(F234&lt;=25,"YOUTH",F234&lt;=48,"ADULT",TRUE,"SENIOR")</f>
        <v>ADULT</v>
      </c>
      <c r="H234" s="1" t="s">
        <v>42</v>
      </c>
      <c r="I234" s="1" t="s">
        <v>37</v>
      </c>
      <c r="J234" s="1" t="s">
        <v>23</v>
      </c>
      <c r="K234" s="1" t="s">
        <v>24</v>
      </c>
      <c r="L234" s="1">
        <v>40994</v>
      </c>
      <c r="M234" s="3">
        <f t="shared" si="9"/>
        <v>1.4685075864760696E-2</v>
      </c>
      <c r="N234" s="1">
        <v>602</v>
      </c>
      <c r="O234" s="4">
        <f t="shared" si="10"/>
        <v>6.1428571428571432</v>
      </c>
      <c r="P234" s="1">
        <v>98</v>
      </c>
      <c r="Q234" s="1">
        <v>3518.4357332908999</v>
      </c>
      <c r="R234" s="1">
        <v>807.27618020639704</v>
      </c>
      <c r="S234" s="5">
        <f t="shared" si="11"/>
        <v>806.27618020639704</v>
      </c>
      <c r="T234" s="1">
        <v>1213</v>
      </c>
      <c r="U234" s="1">
        <v>197</v>
      </c>
      <c r="V234" s="1">
        <v>108</v>
      </c>
      <c r="W234" s="1">
        <v>4961</v>
      </c>
      <c r="X234" s="1">
        <v>0.44005800094449299</v>
      </c>
    </row>
    <row r="235" spans="1:24" x14ac:dyDescent="0.3">
      <c r="A235" s="2">
        <v>45347</v>
      </c>
      <c r="B235" s="1" t="s">
        <v>25</v>
      </c>
      <c r="C235" s="1" t="s">
        <v>35</v>
      </c>
      <c r="D235" s="1" t="s">
        <v>32</v>
      </c>
      <c r="E235" s="1" t="s">
        <v>28</v>
      </c>
      <c r="F235" s="1">
        <v>40</v>
      </c>
      <c r="G235" s="1" t="str" cm="1">
        <f t="array" ref="G235">_xlfn.IFS(F235&lt;=25,"YOUTH",F235&lt;=48,"ADULT",TRUE,"SENIOR")</f>
        <v>ADULT</v>
      </c>
      <c r="H235" s="1" t="s">
        <v>42</v>
      </c>
      <c r="I235" s="1" t="s">
        <v>33</v>
      </c>
      <c r="J235" s="1" t="s">
        <v>23</v>
      </c>
      <c r="K235" s="1" t="s">
        <v>39</v>
      </c>
      <c r="L235" s="1">
        <v>38876</v>
      </c>
      <c r="M235" s="3">
        <f t="shared" si="9"/>
        <v>8.8435024179442323E-2</v>
      </c>
      <c r="N235" s="1">
        <v>3438</v>
      </c>
      <c r="O235" s="4">
        <f t="shared" si="10"/>
        <v>4.9898403483309144</v>
      </c>
      <c r="P235" s="1">
        <v>689</v>
      </c>
      <c r="Q235" s="1">
        <v>4173.1816199843497</v>
      </c>
      <c r="R235" s="1">
        <v>15253.705413198901</v>
      </c>
      <c r="S235" s="5">
        <f t="shared" si="11"/>
        <v>15252.705413198901</v>
      </c>
      <c r="T235" s="1">
        <v>735</v>
      </c>
      <c r="U235" s="1">
        <v>41</v>
      </c>
      <c r="V235" s="1">
        <v>39</v>
      </c>
      <c r="W235" s="1">
        <v>3118</v>
      </c>
      <c r="X235" s="1">
        <v>0.91629094902936403</v>
      </c>
    </row>
    <row r="236" spans="1:24" x14ac:dyDescent="0.3">
      <c r="A236" s="2">
        <v>45340</v>
      </c>
      <c r="B236" s="1" t="s">
        <v>17</v>
      </c>
      <c r="C236" s="1" t="s">
        <v>18</v>
      </c>
      <c r="D236" s="1" t="s">
        <v>19</v>
      </c>
      <c r="E236" s="1" t="s">
        <v>20</v>
      </c>
      <c r="F236" s="1">
        <v>48</v>
      </c>
      <c r="G236" s="1" t="str" cm="1">
        <f t="array" ref="G236">_xlfn.IFS(F236&lt;=25,"YOUTH",F236&lt;=48,"ADULT",TRUE,"SENIOR")</f>
        <v>ADULT</v>
      </c>
      <c r="H236" s="1" t="s">
        <v>21</v>
      </c>
      <c r="I236" s="1" t="s">
        <v>33</v>
      </c>
      <c r="J236" s="1" t="s">
        <v>23</v>
      </c>
      <c r="K236" s="1" t="s">
        <v>31</v>
      </c>
      <c r="L236" s="1">
        <v>35878</v>
      </c>
      <c r="M236" s="3">
        <f t="shared" si="9"/>
        <v>0.10725235520374603</v>
      </c>
      <c r="N236" s="1">
        <v>3848</v>
      </c>
      <c r="O236" s="4">
        <f t="shared" si="10"/>
        <v>5.92</v>
      </c>
      <c r="P236" s="1">
        <v>650</v>
      </c>
      <c r="Q236" s="1">
        <v>4969.474937</v>
      </c>
      <c r="R236" s="1">
        <v>5996.48192760656</v>
      </c>
      <c r="S236" s="5">
        <f t="shared" si="11"/>
        <v>5995.48192760656</v>
      </c>
      <c r="T236" s="1">
        <v>772</v>
      </c>
      <c r="U236" s="1">
        <v>61</v>
      </c>
      <c r="V236" s="1">
        <v>51</v>
      </c>
      <c r="W236" s="1">
        <v>2761</v>
      </c>
      <c r="X236" s="1">
        <v>0.65231554259419899</v>
      </c>
    </row>
    <row r="237" spans="1:24" x14ac:dyDescent="0.3">
      <c r="A237" s="2">
        <v>45316</v>
      </c>
      <c r="B237" s="1" t="s">
        <v>17</v>
      </c>
      <c r="C237" s="1" t="s">
        <v>41</v>
      </c>
      <c r="D237" s="1" t="s">
        <v>27</v>
      </c>
      <c r="E237" s="1" t="s">
        <v>28</v>
      </c>
      <c r="F237" s="1">
        <v>47</v>
      </c>
      <c r="G237" s="1" t="str" cm="1">
        <f t="array" ref="G237">_xlfn.IFS(F237&lt;=25,"YOUTH",F237&lt;=48,"ADULT",TRUE,"SENIOR")</f>
        <v>ADULT</v>
      </c>
      <c r="H237" s="1" t="s">
        <v>21</v>
      </c>
      <c r="I237" s="1" t="s">
        <v>43</v>
      </c>
      <c r="J237" s="1" t="s">
        <v>23</v>
      </c>
      <c r="K237" s="1" t="s">
        <v>31</v>
      </c>
      <c r="L237" s="1">
        <v>34725</v>
      </c>
      <c r="M237" s="3">
        <f t="shared" si="9"/>
        <v>0.12138228941684666</v>
      </c>
      <c r="N237" s="1">
        <v>4215</v>
      </c>
      <c r="O237" s="4">
        <f t="shared" si="10"/>
        <v>5.2101359703337451</v>
      </c>
      <c r="P237" s="1">
        <v>809</v>
      </c>
      <c r="Q237" s="1">
        <v>2961.3848570898199</v>
      </c>
      <c r="R237" s="1">
        <v>23442.507034902999</v>
      </c>
      <c r="S237" s="5">
        <f t="shared" si="11"/>
        <v>23441.507034902999</v>
      </c>
      <c r="T237" s="1">
        <v>462</v>
      </c>
      <c r="U237" s="1">
        <v>77</v>
      </c>
      <c r="V237" s="1">
        <v>37</v>
      </c>
      <c r="W237" s="1">
        <v>4758</v>
      </c>
      <c r="X237" s="1">
        <v>0.916128952</v>
      </c>
    </row>
    <row r="238" spans="1:24" x14ac:dyDescent="0.3">
      <c r="A238" s="2">
        <v>45341</v>
      </c>
      <c r="B238" s="1" t="s">
        <v>17</v>
      </c>
      <c r="C238" s="1" t="s">
        <v>18</v>
      </c>
      <c r="D238" s="1" t="s">
        <v>32</v>
      </c>
      <c r="E238" s="1" t="s">
        <v>20</v>
      </c>
      <c r="F238" s="1">
        <v>59</v>
      </c>
      <c r="G238" s="1" t="str" cm="1">
        <f t="array" ref="G238">_xlfn.IFS(F238&lt;=25,"YOUTH",F238&lt;=48,"ADULT",TRUE,"SENIOR")</f>
        <v>SENIOR</v>
      </c>
      <c r="H238" s="1" t="s">
        <v>29</v>
      </c>
      <c r="I238" s="1" t="s">
        <v>22</v>
      </c>
      <c r="J238" s="1" t="s">
        <v>23</v>
      </c>
      <c r="K238" s="1" t="s">
        <v>31</v>
      </c>
      <c r="L238" s="1">
        <v>8146</v>
      </c>
      <c r="M238" s="3">
        <f t="shared" si="9"/>
        <v>5.7574269580162041E-2</v>
      </c>
      <c r="N238" s="1">
        <v>469</v>
      </c>
      <c r="O238" s="4">
        <f t="shared" si="10"/>
        <v>4.3831775700934577</v>
      </c>
      <c r="P238" s="1">
        <v>107</v>
      </c>
      <c r="Q238" s="1">
        <v>1185.7239460112701</v>
      </c>
      <c r="R238" s="1">
        <v>6326.95034218621</v>
      </c>
      <c r="S238" s="5">
        <f t="shared" si="11"/>
        <v>6325.95034218621</v>
      </c>
      <c r="T238" s="1">
        <v>118</v>
      </c>
      <c r="U238" s="1">
        <v>19</v>
      </c>
      <c r="V238" s="1">
        <v>4</v>
      </c>
      <c r="W238" s="1">
        <v>682</v>
      </c>
      <c r="X238" s="1">
        <v>0.45906913303012198</v>
      </c>
    </row>
    <row r="239" spans="1:24" x14ac:dyDescent="0.3">
      <c r="A239" s="2">
        <v>45303</v>
      </c>
      <c r="B239" s="1" t="s">
        <v>34</v>
      </c>
      <c r="C239" s="1" t="s">
        <v>26</v>
      </c>
      <c r="D239" s="1" t="s">
        <v>32</v>
      </c>
      <c r="E239" s="1" t="s">
        <v>20</v>
      </c>
      <c r="F239" s="1">
        <v>52</v>
      </c>
      <c r="G239" s="1" t="str" cm="1">
        <f t="array" ref="G239">_xlfn.IFS(F239&lt;=25,"YOUTH",F239&lt;=48,"ADULT",TRUE,"SENIOR")</f>
        <v>SENIOR</v>
      </c>
      <c r="H239" s="1" t="s">
        <v>21</v>
      </c>
      <c r="I239" s="1" t="s">
        <v>33</v>
      </c>
      <c r="J239" s="1" t="s">
        <v>23</v>
      </c>
      <c r="K239" s="1" t="s">
        <v>31</v>
      </c>
      <c r="L239" s="1">
        <v>1560</v>
      </c>
      <c r="M239" s="3">
        <f t="shared" si="9"/>
        <v>1.0897435897435897E-2</v>
      </c>
      <c r="N239" s="1">
        <v>17</v>
      </c>
      <c r="O239" s="4">
        <f t="shared" si="10"/>
        <v>5.666666666666667</v>
      </c>
      <c r="P239" s="1">
        <v>3</v>
      </c>
      <c r="Q239" s="1">
        <v>222.16354800047901</v>
      </c>
      <c r="R239" s="1">
        <v>78.632450177710496</v>
      </c>
      <c r="S239" s="5">
        <f t="shared" si="11"/>
        <v>77.632450177710496</v>
      </c>
      <c r="T239" s="1">
        <v>30</v>
      </c>
      <c r="U239" s="1">
        <v>3</v>
      </c>
      <c r="V239" s="1">
        <v>2</v>
      </c>
      <c r="W239" s="1">
        <v>91</v>
      </c>
      <c r="X239" s="1">
        <v>0.92244642693074397</v>
      </c>
    </row>
    <row r="240" spans="1:24" x14ac:dyDescent="0.3">
      <c r="A240" s="2">
        <v>45316</v>
      </c>
      <c r="B240" s="1" t="s">
        <v>25</v>
      </c>
      <c r="C240" s="1" t="s">
        <v>41</v>
      </c>
      <c r="D240" s="1" t="s">
        <v>36</v>
      </c>
      <c r="E240" s="1" t="s">
        <v>20</v>
      </c>
      <c r="F240" s="1">
        <v>24</v>
      </c>
      <c r="G240" s="1" t="str" cm="1">
        <f t="array" ref="G240">_xlfn.IFS(F240&lt;=25,"YOUTH",F240&lt;=48,"ADULT",TRUE,"SENIOR")</f>
        <v>YOUTH</v>
      </c>
      <c r="H240" s="1" t="s">
        <v>29</v>
      </c>
      <c r="I240" s="1" t="s">
        <v>22</v>
      </c>
      <c r="J240" s="1" t="s">
        <v>30</v>
      </c>
      <c r="K240" s="1" t="s">
        <v>39</v>
      </c>
      <c r="L240" s="1">
        <v>2312</v>
      </c>
      <c r="M240" s="3">
        <f t="shared" si="9"/>
        <v>7.698961937716263E-2</v>
      </c>
      <c r="N240" s="1">
        <v>178</v>
      </c>
      <c r="O240" s="4">
        <f t="shared" si="10"/>
        <v>5.741935483870968</v>
      </c>
      <c r="P240" s="1">
        <v>31</v>
      </c>
      <c r="Q240" s="1">
        <v>306.24319401209902</v>
      </c>
      <c r="R240" s="1">
        <v>1621.5858375974301</v>
      </c>
      <c r="S240" s="5">
        <f t="shared" si="11"/>
        <v>1620.5858375974301</v>
      </c>
      <c r="T240" s="1">
        <v>15</v>
      </c>
      <c r="U240" s="1">
        <v>0</v>
      </c>
      <c r="V240" s="1">
        <v>1</v>
      </c>
      <c r="W240" s="1">
        <v>198</v>
      </c>
      <c r="X240" s="1">
        <v>0.46005840468393999</v>
      </c>
    </row>
    <row r="241" spans="1:24" x14ac:dyDescent="0.3">
      <c r="A241" s="2">
        <v>45308</v>
      </c>
      <c r="B241" s="1" t="s">
        <v>17</v>
      </c>
      <c r="C241" s="1" t="s">
        <v>35</v>
      </c>
      <c r="D241" s="1" t="s">
        <v>27</v>
      </c>
      <c r="E241" s="1" t="s">
        <v>28</v>
      </c>
      <c r="F241" s="1">
        <v>33</v>
      </c>
      <c r="G241" s="1" t="str" cm="1">
        <f t="array" ref="G241">_xlfn.IFS(F241&lt;=25,"YOUTH",F241&lt;=48,"ADULT",TRUE,"SENIOR")</f>
        <v>ADULT</v>
      </c>
      <c r="H241" s="1" t="s">
        <v>21</v>
      </c>
      <c r="I241" s="1" t="s">
        <v>37</v>
      </c>
      <c r="J241" s="1" t="s">
        <v>23</v>
      </c>
      <c r="K241" s="1" t="s">
        <v>24</v>
      </c>
      <c r="L241" s="1">
        <v>19205</v>
      </c>
      <c r="M241" s="3">
        <f t="shared" si="9"/>
        <v>1.2184326998177559E-2</v>
      </c>
      <c r="N241" s="1">
        <v>234</v>
      </c>
      <c r="O241" s="4">
        <f t="shared" si="10"/>
        <v>14.625</v>
      </c>
      <c r="P241" s="1">
        <v>16</v>
      </c>
      <c r="Q241" s="1">
        <v>1632.3682385684201</v>
      </c>
      <c r="R241" s="1">
        <v>177.666363424271</v>
      </c>
      <c r="S241" s="5">
        <f t="shared" si="11"/>
        <v>176.666363424271</v>
      </c>
      <c r="T241" s="1">
        <v>218</v>
      </c>
      <c r="U241" s="1">
        <v>30</v>
      </c>
      <c r="V241" s="1">
        <v>12</v>
      </c>
      <c r="W241" s="1">
        <v>3139</v>
      </c>
      <c r="X241" s="1">
        <v>0.65382268914823405</v>
      </c>
    </row>
    <row r="242" spans="1:24" x14ac:dyDescent="0.3">
      <c r="A242" s="2">
        <v>45351</v>
      </c>
      <c r="B242" s="1" t="s">
        <v>17</v>
      </c>
      <c r="C242" s="1" t="s">
        <v>18</v>
      </c>
      <c r="D242" s="1" t="s">
        <v>36</v>
      </c>
      <c r="E242" s="1" t="s">
        <v>20</v>
      </c>
      <c r="F242" s="1">
        <v>43</v>
      </c>
      <c r="G242" s="1" t="str" cm="1">
        <f t="array" ref="G242">_xlfn.IFS(F242&lt;=25,"YOUTH",F242&lt;=48,"ADULT",TRUE,"SENIOR")</f>
        <v>ADULT</v>
      </c>
      <c r="H242" s="1" t="s">
        <v>42</v>
      </c>
      <c r="I242" s="1" t="s">
        <v>33</v>
      </c>
      <c r="J242" s="1" t="s">
        <v>38</v>
      </c>
      <c r="K242" s="1" t="s">
        <v>31</v>
      </c>
      <c r="L242" s="1">
        <v>12595</v>
      </c>
      <c r="M242" s="3">
        <f t="shared" si="9"/>
        <v>2.2866216752679636E-2</v>
      </c>
      <c r="N242" s="1">
        <v>288</v>
      </c>
      <c r="O242" s="4">
        <f t="shared" si="10"/>
        <v>6</v>
      </c>
      <c r="P242" s="1">
        <v>48</v>
      </c>
      <c r="Q242" s="1">
        <v>482.60907219751903</v>
      </c>
      <c r="R242" s="1">
        <v>2297.2505847488101</v>
      </c>
      <c r="S242" s="5">
        <f t="shared" si="11"/>
        <v>2296.2505847488101</v>
      </c>
      <c r="T242" s="1">
        <v>124</v>
      </c>
      <c r="U242" s="1">
        <v>13</v>
      </c>
      <c r="V242" s="1">
        <v>11</v>
      </c>
      <c r="W242" s="1">
        <v>2438</v>
      </c>
      <c r="X242" s="1">
        <v>0.91589563699999998</v>
      </c>
    </row>
    <row r="243" spans="1:24" x14ac:dyDescent="0.3">
      <c r="A243" s="2">
        <v>45317</v>
      </c>
      <c r="B243" s="1" t="s">
        <v>40</v>
      </c>
      <c r="C243" s="1" t="s">
        <v>26</v>
      </c>
      <c r="D243" s="1" t="s">
        <v>32</v>
      </c>
      <c r="E243" s="1" t="s">
        <v>20</v>
      </c>
      <c r="F243" s="1">
        <v>19</v>
      </c>
      <c r="G243" s="1" t="str" cm="1">
        <f t="array" ref="G243">_xlfn.IFS(F243&lt;=25,"YOUTH",F243&lt;=48,"ADULT",TRUE,"SENIOR")</f>
        <v>YOUTH</v>
      </c>
      <c r="H243" s="1" t="s">
        <v>21</v>
      </c>
      <c r="I243" s="1" t="s">
        <v>43</v>
      </c>
      <c r="J243" s="1" t="s">
        <v>38</v>
      </c>
      <c r="K243" s="1" t="s">
        <v>39</v>
      </c>
      <c r="L243" s="1">
        <v>23030</v>
      </c>
      <c r="M243" s="3">
        <f t="shared" si="9"/>
        <v>5.5709943551888838E-2</v>
      </c>
      <c r="N243" s="1">
        <v>1283</v>
      </c>
      <c r="O243" s="4">
        <f t="shared" si="10"/>
        <v>7.3314285714285718</v>
      </c>
      <c r="P243" s="1">
        <v>175</v>
      </c>
      <c r="Q243" s="1">
        <v>1112.9841921802799</v>
      </c>
      <c r="R243" s="1">
        <v>4477.9992095533198</v>
      </c>
      <c r="S243" s="5">
        <f t="shared" si="11"/>
        <v>4476.9992095533198</v>
      </c>
      <c r="T243" s="1">
        <v>124</v>
      </c>
      <c r="U243" s="1">
        <v>12</v>
      </c>
      <c r="V243" s="1">
        <v>2</v>
      </c>
      <c r="W243" s="1">
        <v>3013</v>
      </c>
      <c r="X243" s="1">
        <v>0.52798951021387897</v>
      </c>
    </row>
    <row r="244" spans="1:24" x14ac:dyDescent="0.3">
      <c r="A244" s="2">
        <v>45337</v>
      </c>
      <c r="B244" s="1" t="s">
        <v>34</v>
      </c>
      <c r="C244" s="1" t="s">
        <v>35</v>
      </c>
      <c r="D244" s="1" t="s">
        <v>19</v>
      </c>
      <c r="E244" s="1" t="s">
        <v>20</v>
      </c>
      <c r="F244" s="1">
        <v>18</v>
      </c>
      <c r="G244" s="1" t="str" cm="1">
        <f t="array" ref="G244">_xlfn.IFS(F244&lt;=25,"YOUTH",F244&lt;=48,"ADULT",TRUE,"SENIOR")</f>
        <v>YOUTH</v>
      </c>
      <c r="H244" s="1" t="s">
        <v>21</v>
      </c>
      <c r="I244" s="1" t="s">
        <v>43</v>
      </c>
      <c r="J244" s="1" t="s">
        <v>38</v>
      </c>
      <c r="K244" s="1" t="s">
        <v>39</v>
      </c>
      <c r="L244" s="1">
        <v>22329</v>
      </c>
      <c r="M244" s="3">
        <f t="shared" si="9"/>
        <v>7.1163061489542753E-2</v>
      </c>
      <c r="N244" s="1">
        <v>1589</v>
      </c>
      <c r="O244" s="4">
        <f t="shared" si="10"/>
        <v>5.4232081911262799</v>
      </c>
      <c r="P244" s="1">
        <v>293</v>
      </c>
      <c r="Q244" s="1">
        <v>2326.6170537722401</v>
      </c>
      <c r="R244" s="1">
        <v>15744.043574785001</v>
      </c>
      <c r="S244" s="5">
        <f t="shared" si="11"/>
        <v>15743.043574785001</v>
      </c>
      <c r="T244" s="1">
        <v>411</v>
      </c>
      <c r="U244" s="1">
        <v>60</v>
      </c>
      <c r="V244" s="1">
        <v>37</v>
      </c>
      <c r="W244" s="1">
        <v>3541</v>
      </c>
      <c r="X244" s="1">
        <v>0.41913173947230298</v>
      </c>
    </row>
    <row r="245" spans="1:24" x14ac:dyDescent="0.3">
      <c r="A245" s="2">
        <v>45339</v>
      </c>
      <c r="B245" s="1" t="s">
        <v>40</v>
      </c>
      <c r="C245" s="1" t="s">
        <v>35</v>
      </c>
      <c r="D245" s="1" t="s">
        <v>27</v>
      </c>
      <c r="E245" s="1" t="s">
        <v>20</v>
      </c>
      <c r="F245" s="1">
        <v>29</v>
      </c>
      <c r="G245" s="1" t="str" cm="1">
        <f t="array" ref="G245">_xlfn.IFS(F245&lt;=25,"YOUTH",F245&lt;=48,"ADULT",TRUE,"SENIOR")</f>
        <v>ADULT</v>
      </c>
      <c r="H245" s="1" t="s">
        <v>29</v>
      </c>
      <c r="I245" s="1" t="s">
        <v>43</v>
      </c>
      <c r="J245" s="1" t="s">
        <v>23</v>
      </c>
      <c r="K245" s="1" t="s">
        <v>31</v>
      </c>
      <c r="L245" s="1">
        <v>39142</v>
      </c>
      <c r="M245" s="3">
        <f t="shared" si="9"/>
        <v>4.9103265035000766E-2</v>
      </c>
      <c r="N245" s="1">
        <v>1922</v>
      </c>
      <c r="O245" s="4">
        <f t="shared" si="10"/>
        <v>4.7339901477832509</v>
      </c>
      <c r="P245" s="1">
        <v>406</v>
      </c>
      <c r="Q245" s="1">
        <v>2928.9233469769201</v>
      </c>
      <c r="R245" s="1">
        <v>5625.6906509479104</v>
      </c>
      <c r="S245" s="5">
        <f t="shared" si="11"/>
        <v>5624.6906509479104</v>
      </c>
      <c r="T245" s="1">
        <v>744</v>
      </c>
      <c r="U245" s="1">
        <v>85</v>
      </c>
      <c r="V245" s="1">
        <v>33</v>
      </c>
      <c r="W245" s="1">
        <v>4354</v>
      </c>
      <c r="X245" s="1">
        <v>0.83621087126552096</v>
      </c>
    </row>
    <row r="246" spans="1:24" x14ac:dyDescent="0.3">
      <c r="A246" s="2">
        <v>45305</v>
      </c>
      <c r="B246" s="1" t="s">
        <v>25</v>
      </c>
      <c r="C246" s="1" t="s">
        <v>41</v>
      </c>
      <c r="D246" s="1" t="s">
        <v>32</v>
      </c>
      <c r="E246" s="1" t="s">
        <v>20</v>
      </c>
      <c r="F246" s="1">
        <v>22</v>
      </c>
      <c r="G246" s="1" t="str" cm="1">
        <f t="array" ref="G246">_xlfn.IFS(F246&lt;=25,"YOUTH",F246&lt;=48,"ADULT",TRUE,"SENIOR")</f>
        <v>YOUTH</v>
      </c>
      <c r="H246" s="1" t="s">
        <v>29</v>
      </c>
      <c r="I246" s="1" t="s">
        <v>33</v>
      </c>
      <c r="J246" s="1" t="s">
        <v>38</v>
      </c>
      <c r="K246" s="1" t="s">
        <v>31</v>
      </c>
      <c r="L246" s="1">
        <v>3651</v>
      </c>
      <c r="M246" s="3">
        <f t="shared" si="9"/>
        <v>9.1207888249794575E-2</v>
      </c>
      <c r="N246" s="1">
        <v>333</v>
      </c>
      <c r="O246" s="4">
        <f t="shared" si="10"/>
        <v>5.2857142857142856</v>
      </c>
      <c r="P246" s="1">
        <v>63</v>
      </c>
      <c r="Q246" s="1">
        <v>142.69645847939901</v>
      </c>
      <c r="R246" s="1">
        <v>3991.8324319455501</v>
      </c>
      <c r="S246" s="5">
        <f t="shared" si="11"/>
        <v>3990.8324319455501</v>
      </c>
      <c r="T246" s="1">
        <v>53</v>
      </c>
      <c r="U246" s="1">
        <v>3</v>
      </c>
      <c r="V246" s="1">
        <v>2</v>
      </c>
      <c r="W246" s="1">
        <v>469</v>
      </c>
      <c r="X246" s="1">
        <v>0.72773600071795497</v>
      </c>
    </row>
    <row r="247" spans="1:24" x14ac:dyDescent="0.3">
      <c r="A247" s="2">
        <v>45332</v>
      </c>
      <c r="B247" s="1" t="s">
        <v>40</v>
      </c>
      <c r="C247" s="1" t="s">
        <v>35</v>
      </c>
      <c r="D247" s="1" t="s">
        <v>32</v>
      </c>
      <c r="E247" s="1" t="s">
        <v>28</v>
      </c>
      <c r="F247" s="1">
        <v>54</v>
      </c>
      <c r="G247" s="1" t="str" cm="1">
        <f t="array" ref="G247">_xlfn.IFS(F247&lt;=25,"YOUTH",F247&lt;=48,"ADULT",TRUE,"SENIOR")</f>
        <v>SENIOR</v>
      </c>
      <c r="H247" s="1" t="s">
        <v>21</v>
      </c>
      <c r="I247" s="1" t="s">
        <v>22</v>
      </c>
      <c r="J247" s="1" t="s">
        <v>23</v>
      </c>
      <c r="K247" s="1" t="s">
        <v>31</v>
      </c>
      <c r="L247" s="1">
        <v>11006</v>
      </c>
      <c r="M247" s="3">
        <f t="shared" si="9"/>
        <v>1.7717608577139742E-2</v>
      </c>
      <c r="N247" s="1">
        <v>195</v>
      </c>
      <c r="O247" s="4">
        <f t="shared" si="10"/>
        <v>4.7560975609756095</v>
      </c>
      <c r="P247" s="1">
        <v>41</v>
      </c>
      <c r="Q247" s="1">
        <v>905.45494037245203</v>
      </c>
      <c r="R247" s="1">
        <v>851.46824572300102</v>
      </c>
      <c r="S247" s="5">
        <f t="shared" si="11"/>
        <v>850.46824572300102</v>
      </c>
      <c r="T247" s="1">
        <v>128</v>
      </c>
      <c r="U247" s="1">
        <v>23</v>
      </c>
      <c r="V247" s="1">
        <v>4</v>
      </c>
      <c r="W247" s="1">
        <v>2176</v>
      </c>
      <c r="X247" s="1">
        <v>0.68265665609579196</v>
      </c>
    </row>
    <row r="248" spans="1:24" x14ac:dyDescent="0.3">
      <c r="A248" s="2">
        <v>45327</v>
      </c>
      <c r="B248" s="1" t="s">
        <v>40</v>
      </c>
      <c r="C248" s="1" t="s">
        <v>35</v>
      </c>
      <c r="D248" s="1" t="s">
        <v>19</v>
      </c>
      <c r="E248" s="1" t="s">
        <v>28</v>
      </c>
      <c r="F248" s="1">
        <v>49</v>
      </c>
      <c r="G248" s="1" t="str" cm="1">
        <f t="array" ref="G248">_xlfn.IFS(F248&lt;=25,"YOUTH",F248&lt;=48,"ADULT",TRUE,"SENIOR")</f>
        <v>SENIOR</v>
      </c>
      <c r="H248" s="1" t="s">
        <v>29</v>
      </c>
      <c r="I248" s="1" t="s">
        <v>37</v>
      </c>
      <c r="J248" s="1" t="s">
        <v>23</v>
      </c>
      <c r="K248" s="1" t="s">
        <v>31</v>
      </c>
      <c r="L248" s="1">
        <v>43701</v>
      </c>
      <c r="M248" s="3">
        <f t="shared" si="9"/>
        <v>3.0228141232466078E-2</v>
      </c>
      <c r="N248" s="1">
        <v>1321</v>
      </c>
      <c r="O248" s="4">
        <f t="shared" si="10"/>
        <v>29.355555555555554</v>
      </c>
      <c r="P248" s="1">
        <v>45</v>
      </c>
      <c r="Q248" s="1">
        <v>973.045194968038</v>
      </c>
      <c r="R248" s="1">
        <v>1257.92804534744</v>
      </c>
      <c r="S248" s="5">
        <f t="shared" si="11"/>
        <v>1256.92804534744</v>
      </c>
      <c r="T248" s="1">
        <v>930</v>
      </c>
      <c r="U248" s="1">
        <v>155</v>
      </c>
      <c r="V248" s="1">
        <v>42</v>
      </c>
      <c r="W248" s="1">
        <v>4077</v>
      </c>
      <c r="X248" s="1">
        <v>0.41888886139427001</v>
      </c>
    </row>
    <row r="249" spans="1:24" x14ac:dyDescent="0.3">
      <c r="A249" s="2">
        <v>45348</v>
      </c>
      <c r="B249" s="1" t="s">
        <v>40</v>
      </c>
      <c r="C249" s="1" t="s">
        <v>35</v>
      </c>
      <c r="D249" s="1" t="s">
        <v>32</v>
      </c>
      <c r="E249" s="1" t="s">
        <v>20</v>
      </c>
      <c r="F249" s="1">
        <v>26</v>
      </c>
      <c r="G249" s="1" t="str" cm="1">
        <f t="array" ref="G249">_xlfn.IFS(F249&lt;=25,"YOUTH",F249&lt;=48,"ADULT",TRUE,"SENIOR")</f>
        <v>ADULT</v>
      </c>
      <c r="H249" s="1" t="s">
        <v>29</v>
      </c>
      <c r="I249" s="1" t="s">
        <v>22</v>
      </c>
      <c r="J249" s="1" t="s">
        <v>23</v>
      </c>
      <c r="K249" s="1" t="s">
        <v>24</v>
      </c>
      <c r="L249" s="1">
        <v>49940</v>
      </c>
      <c r="M249" s="3">
        <f t="shared" si="9"/>
        <v>0.10732879455346415</v>
      </c>
      <c r="N249" s="1">
        <v>5360</v>
      </c>
      <c r="O249" s="4">
        <f t="shared" si="10"/>
        <v>36.712328767123289</v>
      </c>
      <c r="P249" s="1">
        <v>146</v>
      </c>
      <c r="Q249" s="1">
        <v>5763.3955269543303</v>
      </c>
      <c r="R249" s="1">
        <v>9747.2149456632105</v>
      </c>
      <c r="S249" s="5">
        <f t="shared" si="11"/>
        <v>9746.2149456632105</v>
      </c>
      <c r="T249" s="1">
        <v>417</v>
      </c>
      <c r="U249" s="1">
        <v>24</v>
      </c>
      <c r="V249" s="1">
        <v>15</v>
      </c>
      <c r="W249" s="1">
        <v>1128</v>
      </c>
      <c r="X249" s="1">
        <v>0.75927719784376402</v>
      </c>
    </row>
    <row r="250" spans="1:24" x14ac:dyDescent="0.3">
      <c r="A250" s="2">
        <v>45314</v>
      </c>
      <c r="B250" s="1" t="s">
        <v>34</v>
      </c>
      <c r="C250" s="1" t="s">
        <v>35</v>
      </c>
      <c r="D250" s="1" t="s">
        <v>32</v>
      </c>
      <c r="E250" s="1" t="s">
        <v>20</v>
      </c>
      <c r="F250" s="1">
        <v>58</v>
      </c>
      <c r="G250" s="1" t="str" cm="1">
        <f t="array" ref="G250">_xlfn.IFS(F250&lt;=25,"YOUTH",F250&lt;=48,"ADULT",TRUE,"SENIOR")</f>
        <v>SENIOR</v>
      </c>
      <c r="H250" s="1" t="s">
        <v>29</v>
      </c>
      <c r="I250" s="1" t="s">
        <v>22</v>
      </c>
      <c r="J250" s="1" t="s">
        <v>38</v>
      </c>
      <c r="K250" s="1" t="s">
        <v>31</v>
      </c>
      <c r="L250" s="1">
        <v>36645</v>
      </c>
      <c r="M250" s="3">
        <f t="shared" si="9"/>
        <v>2.9881293491608677E-2</v>
      </c>
      <c r="N250" s="1">
        <v>1095</v>
      </c>
      <c r="O250" s="4">
        <f t="shared" si="10"/>
        <v>12.586206896551724</v>
      </c>
      <c r="P250" s="1">
        <v>87</v>
      </c>
      <c r="Q250" s="1">
        <v>1083.4302497547101</v>
      </c>
      <c r="R250" s="1">
        <v>3706.3177442780002</v>
      </c>
      <c r="S250" s="5">
        <f t="shared" si="11"/>
        <v>3705.3177442780002</v>
      </c>
      <c r="T250" s="1">
        <v>658</v>
      </c>
      <c r="U250" s="1">
        <v>84</v>
      </c>
      <c r="V250" s="1">
        <v>60</v>
      </c>
      <c r="W250" s="1">
        <v>7029</v>
      </c>
      <c r="X250" s="1">
        <v>0.49439284353650997</v>
      </c>
    </row>
    <row r="251" spans="1:24" x14ac:dyDescent="0.3">
      <c r="A251" s="2">
        <v>45334</v>
      </c>
      <c r="B251" s="1" t="s">
        <v>25</v>
      </c>
      <c r="C251" s="1" t="s">
        <v>18</v>
      </c>
      <c r="D251" s="1" t="s">
        <v>27</v>
      </c>
      <c r="E251" s="1" t="s">
        <v>28</v>
      </c>
      <c r="F251" s="1">
        <v>52</v>
      </c>
      <c r="G251" s="1" t="str" cm="1">
        <f t="array" ref="G251">_xlfn.IFS(F251&lt;=25,"YOUTH",F251&lt;=48,"ADULT",TRUE,"SENIOR")</f>
        <v>SENIOR</v>
      </c>
      <c r="H251" s="1" t="s">
        <v>21</v>
      </c>
      <c r="I251" s="1" t="s">
        <v>37</v>
      </c>
      <c r="J251" s="1" t="s">
        <v>23</v>
      </c>
      <c r="K251" s="1" t="s">
        <v>31</v>
      </c>
      <c r="L251" s="1">
        <v>22966</v>
      </c>
      <c r="M251" s="3">
        <f t="shared" si="9"/>
        <v>9.9538448140729777E-2</v>
      </c>
      <c r="N251" s="1">
        <v>2286</v>
      </c>
      <c r="O251" s="4">
        <f t="shared" si="10"/>
        <v>4.4046242774566471</v>
      </c>
      <c r="P251" s="1">
        <v>519</v>
      </c>
      <c r="Q251" s="1">
        <v>2337.5890413372199</v>
      </c>
      <c r="R251" s="1">
        <v>14934.302192217499</v>
      </c>
      <c r="S251" s="5">
        <f t="shared" si="11"/>
        <v>14933.302192217499</v>
      </c>
      <c r="T251" s="1">
        <v>555</v>
      </c>
      <c r="U251" s="1">
        <v>34</v>
      </c>
      <c r="V251" s="1">
        <v>51</v>
      </c>
      <c r="W251" s="1">
        <v>3690</v>
      </c>
      <c r="X251" s="1">
        <v>0.91215817411258204</v>
      </c>
    </row>
    <row r="252" spans="1:24" x14ac:dyDescent="0.3">
      <c r="A252" s="2">
        <v>45297</v>
      </c>
      <c r="B252" s="1" t="s">
        <v>40</v>
      </c>
      <c r="C252" s="1" t="s">
        <v>18</v>
      </c>
      <c r="D252" s="1" t="s">
        <v>27</v>
      </c>
      <c r="E252" s="1" t="s">
        <v>20</v>
      </c>
      <c r="F252" s="1">
        <v>36</v>
      </c>
      <c r="G252" s="1" t="str" cm="1">
        <f t="array" ref="G252">_xlfn.IFS(F252&lt;=25,"YOUTH",F252&lt;=48,"ADULT",TRUE,"SENIOR")</f>
        <v>ADULT</v>
      </c>
      <c r="H252" s="1" t="s">
        <v>21</v>
      </c>
      <c r="I252" s="1" t="s">
        <v>37</v>
      </c>
      <c r="J252" s="1" t="s">
        <v>38</v>
      </c>
      <c r="K252" s="1" t="s">
        <v>39</v>
      </c>
      <c r="L252" s="1">
        <v>28846</v>
      </c>
      <c r="M252" s="3">
        <f t="shared" si="9"/>
        <v>1.7645427442279694E-2</v>
      </c>
      <c r="N252" s="1">
        <v>509</v>
      </c>
      <c r="O252" s="4">
        <f t="shared" si="10"/>
        <v>4.8018867924528301</v>
      </c>
      <c r="P252" s="1">
        <v>106</v>
      </c>
      <c r="Q252" s="1">
        <v>3550.6927933898401</v>
      </c>
      <c r="R252" s="1">
        <v>7072.7587930617201</v>
      </c>
      <c r="S252" s="5">
        <f t="shared" si="11"/>
        <v>7071.7587930617201</v>
      </c>
      <c r="T252" s="1">
        <v>262</v>
      </c>
      <c r="U252" s="1">
        <v>46</v>
      </c>
      <c r="V252" s="1">
        <v>7</v>
      </c>
      <c r="W252" s="1">
        <v>2471</v>
      </c>
      <c r="X252" s="1">
        <v>0.77714982309162495</v>
      </c>
    </row>
    <row r="253" spans="1:24" x14ac:dyDescent="0.3">
      <c r="A253" s="2">
        <v>45338</v>
      </c>
      <c r="B253" s="1" t="s">
        <v>34</v>
      </c>
      <c r="C253" s="1" t="s">
        <v>18</v>
      </c>
      <c r="D253" s="1" t="s">
        <v>27</v>
      </c>
      <c r="E253" s="1" t="s">
        <v>28</v>
      </c>
      <c r="F253" s="1">
        <v>33</v>
      </c>
      <c r="G253" s="1" t="str" cm="1">
        <f t="array" ref="G253">_xlfn.IFS(F253&lt;=25,"YOUTH",F253&lt;=48,"ADULT",TRUE,"SENIOR")</f>
        <v>ADULT</v>
      </c>
      <c r="H253" s="1" t="s">
        <v>29</v>
      </c>
      <c r="I253" s="1" t="s">
        <v>33</v>
      </c>
      <c r="J253" s="1" t="s">
        <v>23</v>
      </c>
      <c r="K253" s="1" t="s">
        <v>24</v>
      </c>
      <c r="L253" s="1">
        <v>22774</v>
      </c>
      <c r="M253" s="3">
        <f t="shared" si="9"/>
        <v>6.7006235180468957E-2</v>
      </c>
      <c r="N253" s="1">
        <v>1526</v>
      </c>
      <c r="O253" s="4">
        <f t="shared" si="10"/>
        <v>5.6518518518518519</v>
      </c>
      <c r="P253" s="1">
        <v>270</v>
      </c>
      <c r="Q253" s="1">
        <v>848.18810758589905</v>
      </c>
      <c r="R253" s="1">
        <v>7125.30866642006</v>
      </c>
      <c r="S253" s="5">
        <f t="shared" si="11"/>
        <v>7124.30866642006</v>
      </c>
      <c r="T253" s="1">
        <v>542</v>
      </c>
      <c r="U253" s="1">
        <v>76</v>
      </c>
      <c r="V253" s="1">
        <v>17</v>
      </c>
      <c r="W253" s="1">
        <v>4478</v>
      </c>
      <c r="X253" s="1">
        <v>0.78886863841860999</v>
      </c>
    </row>
    <row r="254" spans="1:24" x14ac:dyDescent="0.3">
      <c r="A254" s="2">
        <v>45296</v>
      </c>
      <c r="B254" s="1" t="s">
        <v>25</v>
      </c>
      <c r="C254" s="1" t="s">
        <v>18</v>
      </c>
      <c r="D254" s="1" t="s">
        <v>36</v>
      </c>
      <c r="E254" s="1" t="s">
        <v>20</v>
      </c>
      <c r="F254" s="1">
        <v>20</v>
      </c>
      <c r="G254" s="1" t="str" cm="1">
        <f t="array" ref="G254">_xlfn.IFS(F254&lt;=25,"YOUTH",F254&lt;=48,"ADULT",TRUE,"SENIOR")</f>
        <v>YOUTH</v>
      </c>
      <c r="H254" s="1" t="s">
        <v>21</v>
      </c>
      <c r="I254" s="1" t="s">
        <v>33</v>
      </c>
      <c r="J254" s="1" t="s">
        <v>38</v>
      </c>
      <c r="K254" s="1" t="s">
        <v>31</v>
      </c>
      <c r="L254" s="1">
        <v>5083</v>
      </c>
      <c r="M254" s="3">
        <f t="shared" si="9"/>
        <v>3.4821955538068071E-2</v>
      </c>
      <c r="N254" s="1">
        <v>177</v>
      </c>
      <c r="O254" s="4">
        <f t="shared" si="10"/>
        <v>5.53125</v>
      </c>
      <c r="P254" s="1">
        <v>32</v>
      </c>
      <c r="Q254" s="1">
        <v>444.37126040519399</v>
      </c>
      <c r="R254" s="1">
        <v>357.331082364373</v>
      </c>
      <c r="S254" s="5">
        <f t="shared" si="11"/>
        <v>356.331082364373</v>
      </c>
      <c r="T254" s="1">
        <v>122</v>
      </c>
      <c r="U254" s="1">
        <v>9</v>
      </c>
      <c r="V254" s="1">
        <v>10</v>
      </c>
      <c r="W254" s="1">
        <v>384</v>
      </c>
      <c r="X254" s="1">
        <v>0.52791914993620404</v>
      </c>
    </row>
    <row r="255" spans="1:24" x14ac:dyDescent="0.3">
      <c r="A255" s="2">
        <v>45334</v>
      </c>
      <c r="B255" s="1" t="s">
        <v>17</v>
      </c>
      <c r="C255" s="1" t="s">
        <v>26</v>
      </c>
      <c r="D255" s="1" t="s">
        <v>19</v>
      </c>
      <c r="E255" s="1" t="s">
        <v>20</v>
      </c>
      <c r="F255" s="1">
        <v>37</v>
      </c>
      <c r="G255" s="1" t="str" cm="1">
        <f t="array" ref="G255">_xlfn.IFS(F255&lt;=25,"YOUTH",F255&lt;=48,"ADULT",TRUE,"SENIOR")</f>
        <v>ADULT</v>
      </c>
      <c r="H255" s="1" t="s">
        <v>21</v>
      </c>
      <c r="I255" s="1" t="s">
        <v>33</v>
      </c>
      <c r="J255" s="1" t="s">
        <v>30</v>
      </c>
      <c r="K255" s="1" t="s">
        <v>31</v>
      </c>
      <c r="L255" s="1">
        <v>34513</v>
      </c>
      <c r="M255" s="3">
        <f t="shared" si="9"/>
        <v>2.5323791035262076E-2</v>
      </c>
      <c r="N255" s="1">
        <v>874</v>
      </c>
      <c r="O255" s="4">
        <f t="shared" si="10"/>
        <v>5.3619631901840492</v>
      </c>
      <c r="P255" s="1">
        <v>163</v>
      </c>
      <c r="Q255" s="1">
        <v>4185.6944260014798</v>
      </c>
      <c r="R255" s="1">
        <v>11376.6139668705</v>
      </c>
      <c r="S255" s="5">
        <f t="shared" si="11"/>
        <v>11375.6139668705</v>
      </c>
      <c r="T255" s="1">
        <v>224</v>
      </c>
      <c r="U255" s="1">
        <v>11</v>
      </c>
      <c r="V255" s="1">
        <v>11</v>
      </c>
      <c r="W255" s="1">
        <v>2785</v>
      </c>
      <c r="X255" s="1">
        <v>0.88441461099999996</v>
      </c>
    </row>
    <row r="256" spans="1:24" x14ac:dyDescent="0.3">
      <c r="A256" s="2">
        <v>45316</v>
      </c>
      <c r="B256" s="1" t="s">
        <v>40</v>
      </c>
      <c r="C256" s="1" t="s">
        <v>18</v>
      </c>
      <c r="D256" s="1" t="s">
        <v>27</v>
      </c>
      <c r="E256" s="1" t="s">
        <v>28</v>
      </c>
      <c r="F256" s="1">
        <v>41</v>
      </c>
      <c r="G256" s="1" t="str" cm="1">
        <f t="array" ref="G256">_xlfn.IFS(F256&lt;=25,"YOUTH",F256&lt;=48,"ADULT",TRUE,"SENIOR")</f>
        <v>ADULT</v>
      </c>
      <c r="H256" s="1" t="s">
        <v>21</v>
      </c>
      <c r="I256" s="1" t="s">
        <v>33</v>
      </c>
      <c r="J256" s="1" t="s">
        <v>23</v>
      </c>
      <c r="K256" s="1" t="s">
        <v>31</v>
      </c>
      <c r="L256" s="1">
        <v>9749</v>
      </c>
      <c r="M256" s="3">
        <f t="shared" si="9"/>
        <v>8.9342496666324753E-2</v>
      </c>
      <c r="N256" s="1">
        <v>871</v>
      </c>
      <c r="O256" s="4">
        <f t="shared" si="10"/>
        <v>4.2281553398058254</v>
      </c>
      <c r="P256" s="1">
        <v>206</v>
      </c>
      <c r="Q256" s="1">
        <v>525.29902155538002</v>
      </c>
      <c r="R256" s="1">
        <v>4616.4434862838498</v>
      </c>
      <c r="S256" s="5">
        <f t="shared" si="11"/>
        <v>4615.4434862838498</v>
      </c>
      <c r="T256" s="1">
        <v>53</v>
      </c>
      <c r="U256" s="1">
        <v>2</v>
      </c>
      <c r="V256" s="1">
        <v>1</v>
      </c>
      <c r="W256" s="1">
        <v>1226</v>
      </c>
      <c r="X256" s="1">
        <v>0.69575291393076</v>
      </c>
    </row>
    <row r="257" spans="1:24" x14ac:dyDescent="0.3">
      <c r="A257" s="2">
        <v>45309</v>
      </c>
      <c r="B257" s="1" t="s">
        <v>25</v>
      </c>
      <c r="C257" s="1" t="s">
        <v>35</v>
      </c>
      <c r="D257" s="1" t="s">
        <v>36</v>
      </c>
      <c r="E257" s="1" t="s">
        <v>20</v>
      </c>
      <c r="F257" s="1">
        <v>50</v>
      </c>
      <c r="G257" s="1" t="str" cm="1">
        <f t="array" ref="G257">_xlfn.IFS(F257&lt;=25,"YOUTH",F257&lt;=48,"ADULT",TRUE,"SENIOR")</f>
        <v>SENIOR</v>
      </c>
      <c r="H257" s="1" t="s">
        <v>21</v>
      </c>
      <c r="I257" s="1" t="s">
        <v>33</v>
      </c>
      <c r="J257" s="1" t="s">
        <v>30</v>
      </c>
      <c r="K257" s="1" t="s">
        <v>31</v>
      </c>
      <c r="L257" s="1">
        <v>31783</v>
      </c>
      <c r="M257" s="3">
        <f t="shared" si="9"/>
        <v>0.13994902935531572</v>
      </c>
      <c r="N257" s="1">
        <v>4448</v>
      </c>
      <c r="O257" s="4">
        <f t="shared" si="10"/>
        <v>4.731914893617021</v>
      </c>
      <c r="P257" s="1">
        <v>940</v>
      </c>
      <c r="Q257" s="1">
        <v>1308.79714979815</v>
      </c>
      <c r="R257" s="1">
        <v>56711.854555546</v>
      </c>
      <c r="S257" s="5">
        <f t="shared" si="11"/>
        <v>56710.854555546</v>
      </c>
      <c r="T257" s="1">
        <v>932</v>
      </c>
      <c r="U257" s="1">
        <v>117</v>
      </c>
      <c r="V257" s="1">
        <v>56</v>
      </c>
      <c r="W257" s="1">
        <v>1974</v>
      </c>
      <c r="X257" s="1">
        <v>0.87139629779782601</v>
      </c>
    </row>
    <row r="258" spans="1:24" x14ac:dyDescent="0.3">
      <c r="A258" s="2">
        <v>45304</v>
      </c>
      <c r="B258" s="1" t="s">
        <v>40</v>
      </c>
      <c r="C258" s="1" t="s">
        <v>18</v>
      </c>
      <c r="D258" s="1" t="s">
        <v>36</v>
      </c>
      <c r="E258" s="1" t="s">
        <v>28</v>
      </c>
      <c r="F258" s="1">
        <v>41</v>
      </c>
      <c r="G258" s="1" t="str" cm="1">
        <f t="array" ref="G258">_xlfn.IFS(F258&lt;=25,"YOUTH",F258&lt;=48,"ADULT",TRUE,"SENIOR")</f>
        <v>ADULT</v>
      </c>
      <c r="H258" s="1" t="s">
        <v>29</v>
      </c>
      <c r="I258" s="1" t="s">
        <v>37</v>
      </c>
      <c r="J258" s="1" t="s">
        <v>23</v>
      </c>
      <c r="K258" s="1" t="s">
        <v>31</v>
      </c>
      <c r="L258" s="1">
        <v>18325</v>
      </c>
      <c r="M258" s="3">
        <f t="shared" si="9"/>
        <v>1.7626193724420192E-2</v>
      </c>
      <c r="N258" s="1">
        <v>323</v>
      </c>
      <c r="O258" s="4">
        <f t="shared" si="10"/>
        <v>6.2115384615384617</v>
      </c>
      <c r="P258" s="1">
        <v>52</v>
      </c>
      <c r="Q258" s="1">
        <v>1168.8873271022201</v>
      </c>
      <c r="R258" s="1">
        <v>819.52788650203399</v>
      </c>
      <c r="S258" s="5">
        <f t="shared" si="11"/>
        <v>818.52788650203399</v>
      </c>
      <c r="T258" s="1">
        <v>180</v>
      </c>
      <c r="U258" s="1">
        <v>28</v>
      </c>
      <c r="V258" s="1">
        <v>9</v>
      </c>
      <c r="W258" s="1">
        <v>2615</v>
      </c>
      <c r="X258" s="1">
        <v>0.54902111115775099</v>
      </c>
    </row>
    <row r="259" spans="1:24" x14ac:dyDescent="0.3">
      <c r="A259" s="2">
        <v>45334</v>
      </c>
      <c r="B259" s="1" t="s">
        <v>17</v>
      </c>
      <c r="C259" s="1" t="s">
        <v>18</v>
      </c>
      <c r="D259" s="1" t="s">
        <v>19</v>
      </c>
      <c r="E259" s="1" t="s">
        <v>28</v>
      </c>
      <c r="F259" s="1">
        <v>28</v>
      </c>
      <c r="G259" s="1" t="str" cm="1">
        <f t="array" ref="G259">_xlfn.IFS(F259&lt;=25,"YOUTH",F259&lt;=48,"ADULT",TRUE,"SENIOR")</f>
        <v>ADULT</v>
      </c>
      <c r="H259" s="1" t="s">
        <v>21</v>
      </c>
      <c r="I259" s="1" t="s">
        <v>22</v>
      </c>
      <c r="J259" s="1" t="s">
        <v>23</v>
      </c>
      <c r="K259" s="1" t="s">
        <v>39</v>
      </c>
      <c r="L259" s="1">
        <v>19680</v>
      </c>
      <c r="M259" s="3">
        <f t="shared" ref="M259:M322" si="12">(N259/L259)</f>
        <v>6.9004065040650403E-2</v>
      </c>
      <c r="N259" s="1">
        <v>1358</v>
      </c>
      <c r="O259" s="4">
        <f t="shared" ref="O259:O322" si="13">(N259/P259)</f>
        <v>5.7787234042553193</v>
      </c>
      <c r="P259" s="1">
        <v>235</v>
      </c>
      <c r="Q259" s="1">
        <v>1812.7423733707501</v>
      </c>
      <c r="R259" s="1">
        <v>12346.4319188994</v>
      </c>
      <c r="S259" s="5">
        <f t="shared" ref="S259:S322" si="14">(R259-Q259/Q259)</f>
        <v>12345.4319188994</v>
      </c>
      <c r="T259" s="1">
        <v>502</v>
      </c>
      <c r="U259" s="1">
        <v>34</v>
      </c>
      <c r="V259" s="1">
        <v>18</v>
      </c>
      <c r="W259" s="1">
        <v>768</v>
      </c>
      <c r="X259" s="1">
        <v>0.81550394220403499</v>
      </c>
    </row>
    <row r="260" spans="1:24" x14ac:dyDescent="0.3">
      <c r="A260" s="2">
        <v>45305</v>
      </c>
      <c r="B260" s="1" t="s">
        <v>25</v>
      </c>
      <c r="C260" s="1" t="s">
        <v>41</v>
      </c>
      <c r="D260" s="1" t="s">
        <v>19</v>
      </c>
      <c r="E260" s="1" t="s">
        <v>28</v>
      </c>
      <c r="F260" s="1">
        <v>25</v>
      </c>
      <c r="G260" s="1" t="str" cm="1">
        <f t="array" ref="G260">_xlfn.IFS(F260&lt;=25,"YOUTH",F260&lt;=48,"ADULT",TRUE,"SENIOR")</f>
        <v>YOUTH</v>
      </c>
      <c r="H260" s="1" t="s">
        <v>21</v>
      </c>
      <c r="I260" s="1" t="s">
        <v>33</v>
      </c>
      <c r="J260" s="1" t="s">
        <v>23</v>
      </c>
      <c r="K260" s="1" t="s">
        <v>31</v>
      </c>
      <c r="L260" s="1">
        <v>18323</v>
      </c>
      <c r="M260" s="3">
        <f t="shared" si="12"/>
        <v>0.10904327893903837</v>
      </c>
      <c r="N260" s="1">
        <v>1998</v>
      </c>
      <c r="O260" s="4">
        <f t="shared" si="13"/>
        <v>14.478260869565217</v>
      </c>
      <c r="P260" s="1">
        <v>138</v>
      </c>
      <c r="Q260" s="1">
        <v>1736.7702421480601</v>
      </c>
      <c r="R260" s="1">
        <v>5394.311068</v>
      </c>
      <c r="S260" s="5">
        <f t="shared" si="14"/>
        <v>5393.311068</v>
      </c>
      <c r="T260" s="1">
        <v>348</v>
      </c>
      <c r="U260" s="1">
        <v>28</v>
      </c>
      <c r="V260" s="1">
        <v>27</v>
      </c>
      <c r="W260" s="1">
        <v>559</v>
      </c>
      <c r="X260" s="1">
        <v>0.71601179701302597</v>
      </c>
    </row>
    <row r="261" spans="1:24" x14ac:dyDescent="0.3">
      <c r="A261" s="2">
        <v>45319</v>
      </c>
      <c r="B261" s="1" t="s">
        <v>34</v>
      </c>
      <c r="C261" s="1" t="s">
        <v>35</v>
      </c>
      <c r="D261" s="1" t="s">
        <v>32</v>
      </c>
      <c r="E261" s="1" t="s">
        <v>20</v>
      </c>
      <c r="F261" s="1">
        <v>53</v>
      </c>
      <c r="G261" s="1" t="str" cm="1">
        <f t="array" ref="G261">_xlfn.IFS(F261&lt;=25,"YOUTH",F261&lt;=48,"ADULT",TRUE,"SENIOR")</f>
        <v>SENIOR</v>
      </c>
      <c r="H261" s="1" t="s">
        <v>21</v>
      </c>
      <c r="I261" s="1" t="s">
        <v>33</v>
      </c>
      <c r="J261" s="1" t="s">
        <v>23</v>
      </c>
      <c r="K261" s="1" t="s">
        <v>31</v>
      </c>
      <c r="L261" s="1">
        <v>23684</v>
      </c>
      <c r="M261" s="3">
        <f t="shared" si="12"/>
        <v>7.4776220233068735E-2</v>
      </c>
      <c r="N261" s="1">
        <v>1771</v>
      </c>
      <c r="O261" s="4">
        <f t="shared" si="13"/>
        <v>5.8448844884488445</v>
      </c>
      <c r="P261" s="1">
        <v>303</v>
      </c>
      <c r="Q261" s="1">
        <v>876.63776060954103</v>
      </c>
      <c r="R261" s="1">
        <v>20833.954669999999</v>
      </c>
      <c r="S261" s="5">
        <f t="shared" si="14"/>
        <v>20832.954669999999</v>
      </c>
      <c r="T261" s="1">
        <v>275</v>
      </c>
      <c r="U261" s="1">
        <v>27</v>
      </c>
      <c r="V261" s="1">
        <v>19</v>
      </c>
      <c r="W261" s="1">
        <v>2643</v>
      </c>
      <c r="X261" s="1">
        <v>0.42663061819581899</v>
      </c>
    </row>
    <row r="262" spans="1:24" x14ac:dyDescent="0.3">
      <c r="A262" s="2">
        <v>45309</v>
      </c>
      <c r="B262" s="1" t="s">
        <v>25</v>
      </c>
      <c r="C262" s="1" t="s">
        <v>18</v>
      </c>
      <c r="D262" s="1" t="s">
        <v>36</v>
      </c>
      <c r="E262" s="1" t="s">
        <v>28</v>
      </c>
      <c r="F262" s="1">
        <v>55</v>
      </c>
      <c r="G262" s="1" t="str" cm="1">
        <f t="array" ref="G262">_xlfn.IFS(F262&lt;=25,"YOUTH",F262&lt;=48,"ADULT",TRUE,"SENIOR")</f>
        <v>SENIOR</v>
      </c>
      <c r="H262" s="1" t="s">
        <v>21</v>
      </c>
      <c r="I262" s="1" t="s">
        <v>22</v>
      </c>
      <c r="J262" s="1" t="s">
        <v>23</v>
      </c>
      <c r="K262" s="1" t="s">
        <v>24</v>
      </c>
      <c r="L262" s="1">
        <v>35493</v>
      </c>
      <c r="M262" s="3">
        <f t="shared" si="12"/>
        <v>0.12289747274110388</v>
      </c>
      <c r="N262" s="1">
        <v>4362</v>
      </c>
      <c r="O262" s="4">
        <f t="shared" si="13"/>
        <v>8.5029239766081872</v>
      </c>
      <c r="P262" s="1">
        <v>513</v>
      </c>
      <c r="Q262" s="1">
        <v>2821.12384436399</v>
      </c>
      <c r="R262" s="1">
        <v>20999.128223901</v>
      </c>
      <c r="S262" s="5">
        <f t="shared" si="14"/>
        <v>20998.128223901</v>
      </c>
      <c r="T262" s="1">
        <v>292</v>
      </c>
      <c r="U262" s="1">
        <v>24</v>
      </c>
      <c r="V262" s="1">
        <v>8</v>
      </c>
      <c r="W262" s="1">
        <v>4100</v>
      </c>
      <c r="X262" s="1">
        <v>0.62293827807530699</v>
      </c>
    </row>
    <row r="263" spans="1:24" x14ac:dyDescent="0.3">
      <c r="A263" s="2">
        <v>45350</v>
      </c>
      <c r="B263" s="1" t="s">
        <v>34</v>
      </c>
      <c r="C263" s="1" t="s">
        <v>18</v>
      </c>
      <c r="D263" s="1" t="s">
        <v>27</v>
      </c>
      <c r="E263" s="1" t="s">
        <v>28</v>
      </c>
      <c r="F263" s="1">
        <v>57</v>
      </c>
      <c r="G263" s="1" t="str" cm="1">
        <f t="array" ref="G263">_xlfn.IFS(F263&lt;=25,"YOUTH",F263&lt;=48,"ADULT",TRUE,"SENIOR")</f>
        <v>SENIOR</v>
      </c>
      <c r="H263" s="1" t="s">
        <v>29</v>
      </c>
      <c r="I263" s="1" t="s">
        <v>33</v>
      </c>
      <c r="J263" s="1" t="s">
        <v>23</v>
      </c>
      <c r="K263" s="1" t="s">
        <v>31</v>
      </c>
      <c r="L263" s="1">
        <v>13213</v>
      </c>
      <c r="M263" s="3">
        <f t="shared" si="12"/>
        <v>3.5116930295920681E-2</v>
      </c>
      <c r="N263" s="1">
        <v>464</v>
      </c>
      <c r="O263" s="4">
        <f t="shared" si="13"/>
        <v>18.559999999999999</v>
      </c>
      <c r="P263" s="1">
        <v>25</v>
      </c>
      <c r="Q263" s="1">
        <v>725.08564445622198</v>
      </c>
      <c r="R263" s="1">
        <v>165.64962182263699</v>
      </c>
      <c r="S263" s="5">
        <f t="shared" si="14"/>
        <v>164.64962182263699</v>
      </c>
      <c r="T263" s="1">
        <v>230</v>
      </c>
      <c r="U263" s="1">
        <v>25</v>
      </c>
      <c r="V263" s="1">
        <v>21</v>
      </c>
      <c r="W263" s="1">
        <v>399</v>
      </c>
      <c r="X263" s="1">
        <v>0.50115075581790502</v>
      </c>
    </row>
    <row r="264" spans="1:24" x14ac:dyDescent="0.3">
      <c r="A264" s="2">
        <v>45351</v>
      </c>
      <c r="B264" s="1" t="s">
        <v>25</v>
      </c>
      <c r="C264" s="1" t="s">
        <v>18</v>
      </c>
      <c r="D264" s="1" t="s">
        <v>19</v>
      </c>
      <c r="E264" s="1" t="s">
        <v>20</v>
      </c>
      <c r="F264" s="1">
        <v>37</v>
      </c>
      <c r="G264" s="1" t="str" cm="1">
        <f t="array" ref="G264">_xlfn.IFS(F264&lt;=25,"YOUTH",F264&lt;=48,"ADULT",TRUE,"SENIOR")</f>
        <v>ADULT</v>
      </c>
      <c r="H264" s="1" t="s">
        <v>29</v>
      </c>
      <c r="I264" s="1" t="s">
        <v>22</v>
      </c>
      <c r="J264" s="1" t="s">
        <v>23</v>
      </c>
      <c r="K264" s="1" t="s">
        <v>31</v>
      </c>
      <c r="L264" s="1">
        <v>32831</v>
      </c>
      <c r="M264" s="3">
        <f t="shared" si="12"/>
        <v>0.14431482440376472</v>
      </c>
      <c r="N264" s="1">
        <v>4738</v>
      </c>
      <c r="O264" s="4">
        <f t="shared" si="13"/>
        <v>4.8694758478931144</v>
      </c>
      <c r="P264" s="1">
        <v>973</v>
      </c>
      <c r="Q264" s="1">
        <v>4250.4046234277503</v>
      </c>
      <c r="R264" s="1">
        <v>43057.263453775398</v>
      </c>
      <c r="S264" s="5">
        <f t="shared" si="14"/>
        <v>43056.263453775398</v>
      </c>
      <c r="T264" s="1">
        <v>498</v>
      </c>
      <c r="U264" s="1">
        <v>66</v>
      </c>
      <c r="V264" s="1">
        <v>32</v>
      </c>
      <c r="W264" s="1">
        <v>6342</v>
      </c>
      <c r="X264" s="1">
        <v>0.59754547333331498</v>
      </c>
    </row>
    <row r="265" spans="1:24" x14ac:dyDescent="0.3">
      <c r="A265" s="2">
        <v>45348</v>
      </c>
      <c r="B265" s="1" t="s">
        <v>34</v>
      </c>
      <c r="C265" s="1" t="s">
        <v>26</v>
      </c>
      <c r="D265" s="1" t="s">
        <v>36</v>
      </c>
      <c r="E265" s="1" t="s">
        <v>20</v>
      </c>
      <c r="F265" s="1">
        <v>52</v>
      </c>
      <c r="G265" s="1" t="str" cm="1">
        <f t="array" ref="G265">_xlfn.IFS(F265&lt;=25,"YOUTH",F265&lt;=48,"ADULT",TRUE,"SENIOR")</f>
        <v>SENIOR</v>
      </c>
      <c r="H265" s="1" t="s">
        <v>21</v>
      </c>
      <c r="I265" s="1" t="s">
        <v>22</v>
      </c>
      <c r="J265" s="1" t="s">
        <v>38</v>
      </c>
      <c r="K265" s="1" t="s">
        <v>31</v>
      </c>
      <c r="L265" s="1">
        <v>43296</v>
      </c>
      <c r="M265" s="3">
        <f t="shared" si="12"/>
        <v>6.3908906134515886E-2</v>
      </c>
      <c r="N265" s="1">
        <v>2767</v>
      </c>
      <c r="O265" s="4">
        <f t="shared" si="13"/>
        <v>7.2815789473684207</v>
      </c>
      <c r="P265" s="1">
        <v>380</v>
      </c>
      <c r="Q265" s="1">
        <v>2630.8713593197499</v>
      </c>
      <c r="R265" s="1">
        <v>5489.3164715146604</v>
      </c>
      <c r="S265" s="5">
        <f t="shared" si="14"/>
        <v>5488.3164715146604</v>
      </c>
      <c r="T265" s="1">
        <v>972</v>
      </c>
      <c r="U265" s="1">
        <v>148</v>
      </c>
      <c r="V265" s="1">
        <v>38</v>
      </c>
      <c r="W265" s="1">
        <v>5148</v>
      </c>
      <c r="X265" s="1">
        <v>0.61084339884587202</v>
      </c>
    </row>
    <row r="266" spans="1:24" x14ac:dyDescent="0.3">
      <c r="A266" s="2">
        <v>45319</v>
      </c>
      <c r="B266" s="1" t="s">
        <v>17</v>
      </c>
      <c r="C266" s="1" t="s">
        <v>18</v>
      </c>
      <c r="D266" s="1" t="s">
        <v>27</v>
      </c>
      <c r="E266" s="1" t="s">
        <v>20</v>
      </c>
      <c r="F266" s="1">
        <v>42</v>
      </c>
      <c r="G266" s="1" t="str" cm="1">
        <f t="array" ref="G266">_xlfn.IFS(F266&lt;=25,"YOUTH",F266&lt;=48,"ADULT",TRUE,"SENIOR")</f>
        <v>ADULT</v>
      </c>
      <c r="H266" s="1" t="s">
        <v>21</v>
      </c>
      <c r="I266" s="1" t="s">
        <v>37</v>
      </c>
      <c r="J266" s="1" t="s">
        <v>38</v>
      </c>
      <c r="K266" s="1" t="s">
        <v>24</v>
      </c>
      <c r="L266" s="1">
        <v>47930</v>
      </c>
      <c r="M266" s="3">
        <f t="shared" si="12"/>
        <v>5.7813477988733569E-2</v>
      </c>
      <c r="N266" s="1">
        <v>2771</v>
      </c>
      <c r="O266" s="4">
        <f t="shared" si="13"/>
        <v>4.0870206489675516</v>
      </c>
      <c r="P266" s="1">
        <v>678</v>
      </c>
      <c r="Q266" s="1">
        <v>6184.4840219180196</v>
      </c>
      <c r="R266" s="1">
        <v>38581.6981364815</v>
      </c>
      <c r="S266" s="5">
        <f t="shared" si="14"/>
        <v>38580.6981364815</v>
      </c>
      <c r="T266" s="1">
        <v>1323</v>
      </c>
      <c r="U266" s="1">
        <v>257</v>
      </c>
      <c r="V266" s="1">
        <v>48</v>
      </c>
      <c r="W266" s="1">
        <v>1854</v>
      </c>
      <c r="X266" s="1">
        <v>0.66121059416561101</v>
      </c>
    </row>
    <row r="267" spans="1:24" x14ac:dyDescent="0.3">
      <c r="A267" s="2">
        <v>45342</v>
      </c>
      <c r="B267" s="1" t="s">
        <v>17</v>
      </c>
      <c r="C267" s="1" t="s">
        <v>41</v>
      </c>
      <c r="D267" s="1" t="s">
        <v>36</v>
      </c>
      <c r="E267" s="1" t="s">
        <v>20</v>
      </c>
      <c r="F267" s="1">
        <v>52</v>
      </c>
      <c r="G267" s="1" t="str" cm="1">
        <f t="array" ref="G267">_xlfn.IFS(F267&lt;=25,"YOUTH",F267&lt;=48,"ADULT",TRUE,"SENIOR")</f>
        <v>SENIOR</v>
      </c>
      <c r="H267" s="1" t="s">
        <v>21</v>
      </c>
      <c r="I267" s="1" t="s">
        <v>43</v>
      </c>
      <c r="J267" s="1" t="s">
        <v>38</v>
      </c>
      <c r="K267" s="1" t="s">
        <v>31</v>
      </c>
      <c r="L267" s="1">
        <v>28713</v>
      </c>
      <c r="M267" s="3">
        <f t="shared" si="12"/>
        <v>0.13241388917911748</v>
      </c>
      <c r="N267" s="1">
        <v>3802</v>
      </c>
      <c r="O267" s="4">
        <f t="shared" si="13"/>
        <v>11.807453416149068</v>
      </c>
      <c r="P267" s="1">
        <v>322</v>
      </c>
      <c r="Q267" s="1">
        <v>2173.9588438125802</v>
      </c>
      <c r="R267" s="1">
        <v>19537.972352533499</v>
      </c>
      <c r="S267" s="5">
        <f t="shared" si="14"/>
        <v>19536.972352533499</v>
      </c>
      <c r="T267" s="1">
        <v>721</v>
      </c>
      <c r="U267" s="1">
        <v>136</v>
      </c>
      <c r="V267" s="1">
        <v>22</v>
      </c>
      <c r="W267" s="1">
        <v>1986</v>
      </c>
      <c r="X267" s="1">
        <v>0.73015974350065405</v>
      </c>
    </row>
    <row r="268" spans="1:24" x14ac:dyDescent="0.3">
      <c r="A268" s="2">
        <v>45347</v>
      </c>
      <c r="B268" s="1" t="s">
        <v>17</v>
      </c>
      <c r="C268" s="1" t="s">
        <v>35</v>
      </c>
      <c r="D268" s="1" t="s">
        <v>19</v>
      </c>
      <c r="E268" s="1" t="s">
        <v>20</v>
      </c>
      <c r="F268" s="1">
        <v>42</v>
      </c>
      <c r="G268" s="1" t="str" cm="1">
        <f t="array" ref="G268">_xlfn.IFS(F268&lt;=25,"YOUTH",F268&lt;=48,"ADULT",TRUE,"SENIOR")</f>
        <v>ADULT</v>
      </c>
      <c r="H268" s="1" t="s">
        <v>21</v>
      </c>
      <c r="I268" s="1" t="s">
        <v>37</v>
      </c>
      <c r="J268" s="1" t="s">
        <v>38</v>
      </c>
      <c r="K268" s="1" t="s">
        <v>24</v>
      </c>
      <c r="L268" s="1">
        <v>42621</v>
      </c>
      <c r="M268" s="3">
        <f t="shared" si="12"/>
        <v>8.8923300720302204E-2</v>
      </c>
      <c r="N268" s="1">
        <v>3790</v>
      </c>
      <c r="O268" s="4">
        <f t="shared" si="13"/>
        <v>7.6720647773279351</v>
      </c>
      <c r="P268" s="1">
        <v>494</v>
      </c>
      <c r="Q268" s="1">
        <v>4878.2355502875998</v>
      </c>
      <c r="R268" s="1">
        <v>17950.022888498199</v>
      </c>
      <c r="S268" s="5">
        <f t="shared" si="14"/>
        <v>17949.022888498199</v>
      </c>
      <c r="T268" s="1">
        <v>505</v>
      </c>
      <c r="U268" s="1">
        <v>68</v>
      </c>
      <c r="V268" s="1">
        <v>27</v>
      </c>
      <c r="W268" s="1">
        <v>6906</v>
      </c>
      <c r="X268" s="1">
        <v>0.71403770887400897</v>
      </c>
    </row>
    <row r="269" spans="1:24" x14ac:dyDescent="0.3">
      <c r="A269" s="2">
        <v>45318</v>
      </c>
      <c r="B269" s="1" t="s">
        <v>25</v>
      </c>
      <c r="C269" s="1" t="s">
        <v>35</v>
      </c>
      <c r="D269" s="1" t="s">
        <v>32</v>
      </c>
      <c r="E269" s="1" t="s">
        <v>20</v>
      </c>
      <c r="F269" s="1">
        <v>46</v>
      </c>
      <c r="G269" s="1" t="str" cm="1">
        <f t="array" ref="G269">_xlfn.IFS(F269&lt;=25,"YOUTH",F269&lt;=48,"ADULT",TRUE,"SENIOR")</f>
        <v>ADULT</v>
      </c>
      <c r="H269" s="1" t="s">
        <v>21</v>
      </c>
      <c r="I269" s="1" t="s">
        <v>43</v>
      </c>
      <c r="J269" s="1" t="s">
        <v>38</v>
      </c>
      <c r="K269" s="1" t="s">
        <v>39</v>
      </c>
      <c r="L269" s="1">
        <v>8187</v>
      </c>
      <c r="M269" s="3">
        <f t="shared" si="12"/>
        <v>8.2203493343104922E-2</v>
      </c>
      <c r="N269" s="1">
        <v>673</v>
      </c>
      <c r="O269" s="4">
        <f t="shared" si="13"/>
        <v>8.2073170731707314</v>
      </c>
      <c r="P269" s="1">
        <v>82</v>
      </c>
      <c r="Q269" s="1">
        <v>706.60220184181696</v>
      </c>
      <c r="R269" s="1">
        <v>4584.5703660887502</v>
      </c>
      <c r="S269" s="5">
        <f t="shared" si="14"/>
        <v>4583.5703660887502</v>
      </c>
      <c r="T269" s="1">
        <v>220</v>
      </c>
      <c r="U269" s="1">
        <v>35</v>
      </c>
      <c r="V269" s="1">
        <v>6</v>
      </c>
      <c r="W269" s="1">
        <v>895</v>
      </c>
      <c r="X269" s="1">
        <v>0.421445272587747</v>
      </c>
    </row>
    <row r="270" spans="1:24" x14ac:dyDescent="0.3">
      <c r="A270" s="2">
        <v>45323</v>
      </c>
      <c r="B270" s="1" t="s">
        <v>17</v>
      </c>
      <c r="C270" s="1" t="s">
        <v>18</v>
      </c>
      <c r="D270" s="1" t="s">
        <v>36</v>
      </c>
      <c r="E270" s="1" t="s">
        <v>28</v>
      </c>
      <c r="F270" s="1">
        <v>35</v>
      </c>
      <c r="G270" s="1" t="str" cm="1">
        <f t="array" ref="G270">_xlfn.IFS(F270&lt;=25,"YOUTH",F270&lt;=48,"ADULT",TRUE,"SENIOR")</f>
        <v>ADULT</v>
      </c>
      <c r="H270" s="1" t="s">
        <v>21</v>
      </c>
      <c r="I270" s="1" t="s">
        <v>43</v>
      </c>
      <c r="J270" s="1" t="s">
        <v>23</v>
      </c>
      <c r="K270" s="1" t="s">
        <v>31</v>
      </c>
      <c r="L270" s="1">
        <v>33800</v>
      </c>
      <c r="M270" s="3">
        <f t="shared" si="12"/>
        <v>0.11177514792899408</v>
      </c>
      <c r="N270" s="1">
        <v>3778</v>
      </c>
      <c r="O270" s="4">
        <f t="shared" si="13"/>
        <v>20.988888888888887</v>
      </c>
      <c r="P270" s="1">
        <v>180</v>
      </c>
      <c r="Q270" s="1">
        <v>3408.9037704315101</v>
      </c>
      <c r="R270" s="1">
        <v>2597.7956049999998</v>
      </c>
      <c r="S270" s="5">
        <f t="shared" si="14"/>
        <v>2596.7956049999998</v>
      </c>
      <c r="T270" s="1">
        <v>873</v>
      </c>
      <c r="U270" s="1">
        <v>168</v>
      </c>
      <c r="V270" s="1">
        <v>46</v>
      </c>
      <c r="W270" s="1">
        <v>1546</v>
      </c>
      <c r="X270" s="1">
        <v>0.81287907016879601</v>
      </c>
    </row>
    <row r="271" spans="1:24" x14ac:dyDescent="0.3">
      <c r="A271" s="2">
        <v>45338</v>
      </c>
      <c r="B271" s="1" t="s">
        <v>40</v>
      </c>
      <c r="C271" s="1" t="s">
        <v>18</v>
      </c>
      <c r="D271" s="1" t="s">
        <v>27</v>
      </c>
      <c r="E271" s="1" t="s">
        <v>20</v>
      </c>
      <c r="F271" s="1">
        <v>35</v>
      </c>
      <c r="G271" s="1" t="str" cm="1">
        <f t="array" ref="G271">_xlfn.IFS(F271&lt;=25,"YOUTH",F271&lt;=48,"ADULT",TRUE,"SENIOR")</f>
        <v>ADULT</v>
      </c>
      <c r="H271" s="1" t="s">
        <v>29</v>
      </c>
      <c r="I271" s="1" t="s">
        <v>43</v>
      </c>
      <c r="J271" s="1" t="s">
        <v>23</v>
      </c>
      <c r="K271" s="1" t="s">
        <v>24</v>
      </c>
      <c r="L271" s="1">
        <v>33583</v>
      </c>
      <c r="M271" s="3">
        <f t="shared" si="12"/>
        <v>9.1147306673019082E-2</v>
      </c>
      <c r="N271" s="1">
        <v>3061</v>
      </c>
      <c r="O271" s="4">
        <f t="shared" si="13"/>
        <v>8.4792243767313025</v>
      </c>
      <c r="P271" s="1">
        <v>361</v>
      </c>
      <c r="Q271" s="1">
        <v>2397.7035015535098</v>
      </c>
      <c r="R271" s="1">
        <v>13351.614647058899</v>
      </c>
      <c r="S271" s="5">
        <f t="shared" si="14"/>
        <v>13350.614647058899</v>
      </c>
      <c r="T271" s="1">
        <v>947</v>
      </c>
      <c r="U271" s="1">
        <v>59</v>
      </c>
      <c r="V271" s="1">
        <v>30</v>
      </c>
      <c r="W271" s="1">
        <v>992</v>
      </c>
      <c r="X271" s="1">
        <v>0.92205113646002201</v>
      </c>
    </row>
    <row r="272" spans="1:24" x14ac:dyDescent="0.3">
      <c r="A272" s="2">
        <v>45300</v>
      </c>
      <c r="B272" s="1" t="s">
        <v>17</v>
      </c>
      <c r="C272" s="1" t="s">
        <v>18</v>
      </c>
      <c r="D272" s="1" t="s">
        <v>19</v>
      </c>
      <c r="E272" s="1" t="s">
        <v>28</v>
      </c>
      <c r="F272" s="1">
        <v>19</v>
      </c>
      <c r="G272" s="1" t="str" cm="1">
        <f t="array" ref="G272">_xlfn.IFS(F272&lt;=25,"YOUTH",F272&lt;=48,"ADULT",TRUE,"SENIOR")</f>
        <v>YOUTH</v>
      </c>
      <c r="H272" s="1" t="s">
        <v>21</v>
      </c>
      <c r="I272" s="1" t="s">
        <v>33</v>
      </c>
      <c r="J272" s="1" t="s">
        <v>38</v>
      </c>
      <c r="K272" s="1" t="s">
        <v>31</v>
      </c>
      <c r="L272" s="1">
        <v>48661</v>
      </c>
      <c r="M272" s="3">
        <f t="shared" si="12"/>
        <v>3.2736688518526132E-2</v>
      </c>
      <c r="N272" s="1">
        <v>1593</v>
      </c>
      <c r="O272" s="4">
        <f t="shared" si="13"/>
        <v>11.627737226277372</v>
      </c>
      <c r="P272" s="1">
        <v>137</v>
      </c>
      <c r="Q272" s="1">
        <v>5832.8422386764396</v>
      </c>
      <c r="R272" s="1">
        <v>4193.0736770696503</v>
      </c>
      <c r="S272" s="5">
        <f t="shared" si="14"/>
        <v>4192.0736770696503</v>
      </c>
      <c r="T272" s="1">
        <v>801</v>
      </c>
      <c r="U272" s="1">
        <v>40</v>
      </c>
      <c r="V272" s="1">
        <v>58</v>
      </c>
      <c r="W272" s="1">
        <v>4469</v>
      </c>
      <c r="X272" s="1">
        <v>0.59177470894173101</v>
      </c>
    </row>
    <row r="273" spans="1:24" x14ac:dyDescent="0.3">
      <c r="A273" s="2">
        <v>45331</v>
      </c>
      <c r="B273" s="1" t="s">
        <v>34</v>
      </c>
      <c r="C273" s="1" t="s">
        <v>35</v>
      </c>
      <c r="D273" s="1" t="s">
        <v>32</v>
      </c>
      <c r="E273" s="1" t="s">
        <v>20</v>
      </c>
      <c r="F273" s="1">
        <v>52</v>
      </c>
      <c r="G273" s="1" t="str" cm="1">
        <f t="array" ref="G273">_xlfn.IFS(F273&lt;=25,"YOUTH",F273&lt;=48,"ADULT",TRUE,"SENIOR")</f>
        <v>SENIOR</v>
      </c>
      <c r="H273" s="1" t="s">
        <v>29</v>
      </c>
      <c r="I273" s="1" t="s">
        <v>37</v>
      </c>
      <c r="J273" s="1" t="s">
        <v>23</v>
      </c>
      <c r="K273" s="1" t="s">
        <v>31</v>
      </c>
      <c r="L273" s="1">
        <v>15408</v>
      </c>
      <c r="M273" s="3">
        <f t="shared" si="12"/>
        <v>0.1043613707165109</v>
      </c>
      <c r="N273" s="1">
        <v>1608</v>
      </c>
      <c r="O273" s="4">
        <f t="shared" si="13"/>
        <v>17.670329670329672</v>
      </c>
      <c r="P273" s="1">
        <v>91</v>
      </c>
      <c r="Q273" s="1">
        <v>1159.83134287338</v>
      </c>
      <c r="R273" s="1">
        <v>4070.9423444189702</v>
      </c>
      <c r="S273" s="5">
        <f t="shared" si="14"/>
        <v>4069.9423444189702</v>
      </c>
      <c r="T273" s="1">
        <v>373</v>
      </c>
      <c r="U273" s="1">
        <v>20</v>
      </c>
      <c r="V273" s="1">
        <v>30</v>
      </c>
      <c r="W273" s="1">
        <v>1141</v>
      </c>
      <c r="X273" s="1">
        <v>0.49886079573604197</v>
      </c>
    </row>
    <row r="274" spans="1:24" x14ac:dyDescent="0.3">
      <c r="A274" s="2">
        <v>45323</v>
      </c>
      <c r="B274" s="1" t="s">
        <v>34</v>
      </c>
      <c r="C274" s="1" t="s">
        <v>35</v>
      </c>
      <c r="D274" s="1" t="s">
        <v>27</v>
      </c>
      <c r="E274" s="1" t="s">
        <v>28</v>
      </c>
      <c r="F274" s="1">
        <v>33</v>
      </c>
      <c r="G274" s="1" t="str" cm="1">
        <f t="array" ref="G274">_xlfn.IFS(F274&lt;=25,"YOUTH",F274&lt;=48,"ADULT",TRUE,"SENIOR")</f>
        <v>ADULT</v>
      </c>
      <c r="H274" s="1" t="s">
        <v>21</v>
      </c>
      <c r="I274" s="1" t="s">
        <v>43</v>
      </c>
      <c r="J274" s="1" t="s">
        <v>23</v>
      </c>
      <c r="K274" s="1" t="s">
        <v>24</v>
      </c>
      <c r="L274" s="1">
        <v>23369</v>
      </c>
      <c r="M274" s="3">
        <f t="shared" si="12"/>
        <v>2.8670460866960502E-2</v>
      </c>
      <c r="N274" s="1">
        <v>670</v>
      </c>
      <c r="O274" s="4">
        <f t="shared" si="13"/>
        <v>11.964285714285714</v>
      </c>
      <c r="P274" s="1">
        <v>56</v>
      </c>
      <c r="Q274" s="1">
        <v>1857.13475847832</v>
      </c>
      <c r="R274" s="1">
        <v>441.89696724350199</v>
      </c>
      <c r="S274" s="5">
        <f t="shared" si="14"/>
        <v>440.89696724350199</v>
      </c>
      <c r="T274" s="1">
        <v>462</v>
      </c>
      <c r="U274" s="1">
        <v>62</v>
      </c>
      <c r="V274" s="1">
        <v>29</v>
      </c>
      <c r="W274" s="1">
        <v>3146</v>
      </c>
      <c r="X274" s="1">
        <v>0.69700085971346104</v>
      </c>
    </row>
    <row r="275" spans="1:24" x14ac:dyDescent="0.3">
      <c r="A275" s="2">
        <v>45311</v>
      </c>
      <c r="B275" s="1" t="s">
        <v>34</v>
      </c>
      <c r="C275" s="1" t="s">
        <v>26</v>
      </c>
      <c r="D275" s="1" t="s">
        <v>27</v>
      </c>
      <c r="E275" s="1" t="s">
        <v>28</v>
      </c>
      <c r="F275" s="1">
        <v>58</v>
      </c>
      <c r="G275" s="1" t="str" cm="1">
        <f t="array" ref="G275">_xlfn.IFS(F275&lt;=25,"YOUTH",F275&lt;=48,"ADULT",TRUE,"SENIOR")</f>
        <v>SENIOR</v>
      </c>
      <c r="H275" s="1" t="s">
        <v>42</v>
      </c>
      <c r="I275" s="1" t="s">
        <v>22</v>
      </c>
      <c r="J275" s="1" t="s">
        <v>23</v>
      </c>
      <c r="K275" s="1" t="s">
        <v>39</v>
      </c>
      <c r="L275" s="1">
        <v>48928</v>
      </c>
      <c r="M275" s="3">
        <f t="shared" si="12"/>
        <v>0.12281311314584696</v>
      </c>
      <c r="N275" s="1">
        <v>6009</v>
      </c>
      <c r="O275" s="4">
        <f t="shared" si="13"/>
        <v>13.595022624434389</v>
      </c>
      <c r="P275" s="1">
        <v>442</v>
      </c>
      <c r="Q275" s="1">
        <v>4271.3276442965498</v>
      </c>
      <c r="R275" s="1">
        <v>23818.489142883001</v>
      </c>
      <c r="S275" s="5">
        <f t="shared" si="14"/>
        <v>23817.489142883001</v>
      </c>
      <c r="T275" s="1">
        <v>624</v>
      </c>
      <c r="U275" s="1">
        <v>102</v>
      </c>
      <c r="V275" s="1">
        <v>46</v>
      </c>
      <c r="W275" s="1">
        <v>9090</v>
      </c>
      <c r="X275" s="1">
        <v>0.78770211053427897</v>
      </c>
    </row>
    <row r="276" spans="1:24" x14ac:dyDescent="0.3">
      <c r="A276" s="2">
        <v>45319</v>
      </c>
      <c r="B276" s="1" t="s">
        <v>25</v>
      </c>
      <c r="C276" s="1" t="s">
        <v>41</v>
      </c>
      <c r="D276" s="1" t="s">
        <v>27</v>
      </c>
      <c r="E276" s="1" t="s">
        <v>20</v>
      </c>
      <c r="F276" s="1">
        <v>53</v>
      </c>
      <c r="G276" s="1" t="str" cm="1">
        <f t="array" ref="G276">_xlfn.IFS(F276&lt;=25,"YOUTH",F276&lt;=48,"ADULT",TRUE,"SENIOR")</f>
        <v>SENIOR</v>
      </c>
      <c r="H276" s="1" t="s">
        <v>29</v>
      </c>
      <c r="I276" s="1" t="s">
        <v>33</v>
      </c>
      <c r="J276" s="1" t="s">
        <v>23</v>
      </c>
      <c r="K276" s="1" t="s">
        <v>39</v>
      </c>
      <c r="L276" s="1">
        <v>4414</v>
      </c>
      <c r="M276" s="3">
        <f t="shared" si="12"/>
        <v>0.14839148164929769</v>
      </c>
      <c r="N276" s="1">
        <v>655</v>
      </c>
      <c r="O276" s="4">
        <f t="shared" si="13"/>
        <v>5.3252032520325203</v>
      </c>
      <c r="P276" s="1">
        <v>123</v>
      </c>
      <c r="Q276" s="1">
        <v>565.5973156</v>
      </c>
      <c r="R276" s="1">
        <v>1247.6386693500899</v>
      </c>
      <c r="S276" s="5">
        <f t="shared" si="14"/>
        <v>1246.6386693500899</v>
      </c>
      <c r="T276" s="1">
        <v>131</v>
      </c>
      <c r="U276" s="1">
        <v>13</v>
      </c>
      <c r="V276" s="1">
        <v>12</v>
      </c>
      <c r="W276" s="1">
        <v>251</v>
      </c>
      <c r="X276" s="1">
        <v>0.77339769199021402</v>
      </c>
    </row>
    <row r="277" spans="1:24" x14ac:dyDescent="0.3">
      <c r="A277" s="2">
        <v>45324</v>
      </c>
      <c r="B277" s="1" t="s">
        <v>40</v>
      </c>
      <c r="C277" s="1" t="s">
        <v>26</v>
      </c>
      <c r="D277" s="1" t="s">
        <v>36</v>
      </c>
      <c r="E277" s="1" t="s">
        <v>20</v>
      </c>
      <c r="F277" s="1">
        <v>50</v>
      </c>
      <c r="G277" s="1" t="str" cm="1">
        <f t="array" ref="G277">_xlfn.IFS(F277&lt;=25,"YOUTH",F277&lt;=48,"ADULT",TRUE,"SENIOR")</f>
        <v>SENIOR</v>
      </c>
      <c r="H277" s="1" t="s">
        <v>29</v>
      </c>
      <c r="I277" s="1" t="s">
        <v>37</v>
      </c>
      <c r="J277" s="1" t="s">
        <v>23</v>
      </c>
      <c r="K277" s="1" t="s">
        <v>31</v>
      </c>
      <c r="L277" s="1">
        <v>20510</v>
      </c>
      <c r="M277" s="3">
        <f t="shared" si="12"/>
        <v>6.2798634812286688E-2</v>
      </c>
      <c r="N277" s="1">
        <v>1288</v>
      </c>
      <c r="O277" s="4">
        <f t="shared" si="13"/>
        <v>37.882352941176471</v>
      </c>
      <c r="P277" s="1">
        <v>34</v>
      </c>
      <c r="Q277" s="1">
        <v>2168.3020373300801</v>
      </c>
      <c r="R277" s="1">
        <v>1620.8020537416601</v>
      </c>
      <c r="S277" s="5">
        <f t="shared" si="14"/>
        <v>1619.8020537416601</v>
      </c>
      <c r="T277" s="1">
        <v>122</v>
      </c>
      <c r="U277" s="1">
        <v>16</v>
      </c>
      <c r="V277" s="1">
        <v>8</v>
      </c>
      <c r="W277" s="1">
        <v>3537</v>
      </c>
      <c r="X277" s="1">
        <v>0.73666026762547199</v>
      </c>
    </row>
    <row r="278" spans="1:24" x14ac:dyDescent="0.3">
      <c r="A278" s="2">
        <v>45295</v>
      </c>
      <c r="B278" s="1" t="s">
        <v>17</v>
      </c>
      <c r="C278" s="1" t="s">
        <v>41</v>
      </c>
      <c r="D278" s="1" t="s">
        <v>19</v>
      </c>
      <c r="E278" s="1" t="s">
        <v>28</v>
      </c>
      <c r="F278" s="1">
        <v>21</v>
      </c>
      <c r="G278" s="1" t="str" cm="1">
        <f t="array" ref="G278">_xlfn.IFS(F278&lt;=25,"YOUTH",F278&lt;=48,"ADULT",TRUE,"SENIOR")</f>
        <v>YOUTH</v>
      </c>
      <c r="H278" s="1" t="s">
        <v>29</v>
      </c>
      <c r="I278" s="1" t="s">
        <v>43</v>
      </c>
      <c r="J278" s="1" t="s">
        <v>23</v>
      </c>
      <c r="K278" s="1" t="s">
        <v>31</v>
      </c>
      <c r="L278" s="1">
        <v>13120</v>
      </c>
      <c r="M278" s="3">
        <f t="shared" si="12"/>
        <v>7.2256097560975605E-2</v>
      </c>
      <c r="N278" s="1">
        <v>948</v>
      </c>
      <c r="O278" s="4">
        <f t="shared" si="13"/>
        <v>6.1960784313725492</v>
      </c>
      <c r="P278" s="1">
        <v>153</v>
      </c>
      <c r="Q278" s="1">
        <v>857.92795532654202</v>
      </c>
      <c r="R278" s="1">
        <v>948.55710799474502</v>
      </c>
      <c r="S278" s="5">
        <f t="shared" si="14"/>
        <v>947.55710799474502</v>
      </c>
      <c r="T278" s="1">
        <v>118</v>
      </c>
      <c r="U278" s="1">
        <v>15</v>
      </c>
      <c r="V278" s="1">
        <v>5</v>
      </c>
      <c r="W278" s="1">
        <v>2425</v>
      </c>
      <c r="X278" s="1">
        <v>0.48042773867051403</v>
      </c>
    </row>
    <row r="279" spans="1:24" x14ac:dyDescent="0.3">
      <c r="A279" s="2">
        <v>45337</v>
      </c>
      <c r="B279" s="1" t="s">
        <v>40</v>
      </c>
      <c r="C279" s="1" t="s">
        <v>26</v>
      </c>
      <c r="D279" s="1" t="s">
        <v>27</v>
      </c>
      <c r="E279" s="1" t="s">
        <v>20</v>
      </c>
      <c r="F279" s="1">
        <v>50</v>
      </c>
      <c r="G279" s="1" t="str" cm="1">
        <f t="array" ref="G279">_xlfn.IFS(F279&lt;=25,"YOUTH",F279&lt;=48,"ADULT",TRUE,"SENIOR")</f>
        <v>SENIOR</v>
      </c>
      <c r="H279" s="1" t="s">
        <v>42</v>
      </c>
      <c r="I279" s="1" t="s">
        <v>22</v>
      </c>
      <c r="J279" s="1" t="s">
        <v>23</v>
      </c>
      <c r="K279" s="1" t="s">
        <v>39</v>
      </c>
      <c r="L279" s="1">
        <v>35311</v>
      </c>
      <c r="M279" s="3">
        <f t="shared" si="12"/>
        <v>1.648211605448727E-2</v>
      </c>
      <c r="N279" s="1">
        <v>582</v>
      </c>
      <c r="O279" s="4">
        <f t="shared" si="13"/>
        <v>5.1504424778761058</v>
      </c>
      <c r="P279" s="1">
        <v>113</v>
      </c>
      <c r="Q279" s="1">
        <v>3783.2753574178901</v>
      </c>
      <c r="R279" s="1">
        <v>6675.21782829317</v>
      </c>
      <c r="S279" s="5">
        <f t="shared" si="14"/>
        <v>6674.21782829317</v>
      </c>
      <c r="T279" s="1">
        <v>964</v>
      </c>
      <c r="U279" s="1">
        <v>61</v>
      </c>
      <c r="V279" s="1">
        <v>53</v>
      </c>
      <c r="W279" s="1">
        <v>6404</v>
      </c>
      <c r="X279" s="1">
        <v>0.86025369200000001</v>
      </c>
    </row>
    <row r="280" spans="1:24" x14ac:dyDescent="0.3">
      <c r="A280" s="2">
        <v>45348</v>
      </c>
      <c r="B280" s="1" t="s">
        <v>40</v>
      </c>
      <c r="C280" s="1" t="s">
        <v>35</v>
      </c>
      <c r="D280" s="1" t="s">
        <v>36</v>
      </c>
      <c r="E280" s="1" t="s">
        <v>20</v>
      </c>
      <c r="F280" s="1">
        <v>31</v>
      </c>
      <c r="G280" s="1" t="str" cm="1">
        <f t="array" ref="G280">_xlfn.IFS(F280&lt;=25,"YOUTH",F280&lt;=48,"ADULT",TRUE,"SENIOR")</f>
        <v>ADULT</v>
      </c>
      <c r="H280" s="1" t="s">
        <v>29</v>
      </c>
      <c r="I280" s="1" t="s">
        <v>37</v>
      </c>
      <c r="J280" s="1" t="s">
        <v>23</v>
      </c>
      <c r="K280" s="1" t="s">
        <v>31</v>
      </c>
      <c r="L280" s="1">
        <v>34039</v>
      </c>
      <c r="M280" s="3">
        <f t="shared" si="12"/>
        <v>1.1898116865947883E-2</v>
      </c>
      <c r="N280" s="1">
        <v>405</v>
      </c>
      <c r="O280" s="4">
        <f t="shared" si="13"/>
        <v>7.7884615384615383</v>
      </c>
      <c r="P280" s="1">
        <v>52</v>
      </c>
      <c r="Q280" s="1">
        <v>3523.5625554230601</v>
      </c>
      <c r="R280" s="1">
        <v>850.48475015637996</v>
      </c>
      <c r="S280" s="5">
        <f t="shared" si="14"/>
        <v>849.48475015637996</v>
      </c>
      <c r="T280" s="1">
        <v>221</v>
      </c>
      <c r="U280" s="1">
        <v>21</v>
      </c>
      <c r="V280" s="1">
        <v>19</v>
      </c>
      <c r="W280" s="1">
        <v>6497</v>
      </c>
      <c r="X280" s="1">
        <v>0.63409185933034795</v>
      </c>
    </row>
    <row r="281" spans="1:24" x14ac:dyDescent="0.3">
      <c r="A281" s="2">
        <v>45325</v>
      </c>
      <c r="B281" s="1" t="s">
        <v>34</v>
      </c>
      <c r="C281" s="1" t="s">
        <v>26</v>
      </c>
      <c r="D281" s="1" t="s">
        <v>19</v>
      </c>
      <c r="E281" s="1" t="s">
        <v>28</v>
      </c>
      <c r="F281" s="1">
        <v>38</v>
      </c>
      <c r="G281" s="1" t="str" cm="1">
        <f t="array" ref="G281">_xlfn.IFS(F281&lt;=25,"YOUTH",F281&lt;=48,"ADULT",TRUE,"SENIOR")</f>
        <v>ADULT</v>
      </c>
      <c r="H281" s="1" t="s">
        <v>29</v>
      </c>
      <c r="I281" s="1" t="s">
        <v>37</v>
      </c>
      <c r="J281" s="1" t="s">
        <v>23</v>
      </c>
      <c r="K281" s="1" t="s">
        <v>31</v>
      </c>
      <c r="L281" s="1">
        <v>6295</v>
      </c>
      <c r="M281" s="3">
        <f t="shared" si="12"/>
        <v>0.13884034948371723</v>
      </c>
      <c r="N281" s="1">
        <v>874</v>
      </c>
      <c r="O281" s="4">
        <f t="shared" si="13"/>
        <v>4.284313725490196</v>
      </c>
      <c r="P281" s="1">
        <v>204</v>
      </c>
      <c r="Q281" s="1">
        <v>887.79962439999997</v>
      </c>
      <c r="R281" s="1">
        <v>7855.4965314548899</v>
      </c>
      <c r="S281" s="5">
        <f t="shared" si="14"/>
        <v>7854.4965314548899</v>
      </c>
      <c r="T281" s="1">
        <v>171</v>
      </c>
      <c r="U281" s="1">
        <v>9</v>
      </c>
      <c r="V281" s="1">
        <v>5</v>
      </c>
      <c r="W281" s="1">
        <v>1070</v>
      </c>
      <c r="X281" s="1">
        <v>0.52180772066752801</v>
      </c>
    </row>
    <row r="282" spans="1:24" x14ac:dyDescent="0.3">
      <c r="A282" s="2">
        <v>45339</v>
      </c>
      <c r="B282" s="1" t="s">
        <v>34</v>
      </c>
      <c r="C282" s="1" t="s">
        <v>41</v>
      </c>
      <c r="D282" s="1" t="s">
        <v>19</v>
      </c>
      <c r="E282" s="1" t="s">
        <v>28</v>
      </c>
      <c r="F282" s="1">
        <v>37</v>
      </c>
      <c r="G282" s="1" t="str" cm="1">
        <f t="array" ref="G282">_xlfn.IFS(F282&lt;=25,"YOUTH",F282&lt;=48,"ADULT",TRUE,"SENIOR")</f>
        <v>ADULT</v>
      </c>
      <c r="H282" s="1" t="s">
        <v>29</v>
      </c>
      <c r="I282" s="1" t="s">
        <v>33</v>
      </c>
      <c r="J282" s="1" t="s">
        <v>23</v>
      </c>
      <c r="K282" s="1" t="s">
        <v>31</v>
      </c>
      <c r="L282" s="1">
        <v>21460</v>
      </c>
      <c r="M282" s="3">
        <f t="shared" si="12"/>
        <v>2.8005591798695249E-2</v>
      </c>
      <c r="N282" s="1">
        <v>601</v>
      </c>
      <c r="O282" s="4">
        <f t="shared" si="13"/>
        <v>5.5137614678899078</v>
      </c>
      <c r="P282" s="1">
        <v>109</v>
      </c>
      <c r="Q282" s="1">
        <v>2776.58357322352</v>
      </c>
      <c r="R282" s="1">
        <v>2397.6772229101798</v>
      </c>
      <c r="S282" s="5">
        <f t="shared" si="14"/>
        <v>2396.6772229101798</v>
      </c>
      <c r="T282" s="1">
        <v>491</v>
      </c>
      <c r="U282" s="1">
        <v>32</v>
      </c>
      <c r="V282" s="1">
        <v>22</v>
      </c>
      <c r="W282" s="1">
        <v>2634</v>
      </c>
      <c r="X282" s="1">
        <v>0.44744637758470301</v>
      </c>
    </row>
    <row r="283" spans="1:24" x14ac:dyDescent="0.3">
      <c r="A283" s="2">
        <v>45294</v>
      </c>
      <c r="B283" s="1" t="s">
        <v>34</v>
      </c>
      <c r="C283" s="1" t="s">
        <v>18</v>
      </c>
      <c r="D283" s="1" t="s">
        <v>36</v>
      </c>
      <c r="E283" s="1" t="s">
        <v>28</v>
      </c>
      <c r="F283" s="1">
        <v>25</v>
      </c>
      <c r="G283" s="1" t="str" cm="1">
        <f t="array" ref="G283">_xlfn.IFS(F283&lt;=25,"YOUTH",F283&lt;=48,"ADULT",TRUE,"SENIOR")</f>
        <v>YOUTH</v>
      </c>
      <c r="H283" s="1" t="s">
        <v>29</v>
      </c>
      <c r="I283" s="1" t="s">
        <v>37</v>
      </c>
      <c r="J283" s="1" t="s">
        <v>38</v>
      </c>
      <c r="K283" s="1" t="s">
        <v>31</v>
      </c>
      <c r="L283" s="1">
        <v>15963</v>
      </c>
      <c r="M283" s="3">
        <f t="shared" si="12"/>
        <v>7.2354820522458188E-2</v>
      </c>
      <c r="N283" s="1">
        <v>1155</v>
      </c>
      <c r="O283" s="4">
        <f t="shared" si="13"/>
        <v>5.2262443438914028</v>
      </c>
      <c r="P283" s="1">
        <v>221</v>
      </c>
      <c r="Q283" s="1">
        <v>1662.8353816993499</v>
      </c>
      <c r="R283" s="1">
        <v>11485.827057607199</v>
      </c>
      <c r="S283" s="5">
        <f t="shared" si="14"/>
        <v>11484.827057607199</v>
      </c>
      <c r="T283" s="1">
        <v>94</v>
      </c>
      <c r="U283" s="1">
        <v>16</v>
      </c>
      <c r="V283" s="1">
        <v>6</v>
      </c>
      <c r="W283" s="1">
        <v>1402</v>
      </c>
      <c r="X283" s="1">
        <v>0.62919551299999998</v>
      </c>
    </row>
    <row r="284" spans="1:24" x14ac:dyDescent="0.3">
      <c r="A284" s="2">
        <v>45317</v>
      </c>
      <c r="B284" s="1" t="s">
        <v>25</v>
      </c>
      <c r="C284" s="1" t="s">
        <v>41</v>
      </c>
      <c r="D284" s="1" t="s">
        <v>36</v>
      </c>
      <c r="E284" s="1" t="s">
        <v>20</v>
      </c>
      <c r="F284" s="1">
        <v>24</v>
      </c>
      <c r="G284" s="1" t="str" cm="1">
        <f t="array" ref="G284">_xlfn.IFS(F284&lt;=25,"YOUTH",F284&lt;=48,"ADULT",TRUE,"SENIOR")</f>
        <v>YOUTH</v>
      </c>
      <c r="H284" s="1" t="s">
        <v>29</v>
      </c>
      <c r="I284" s="1" t="s">
        <v>33</v>
      </c>
      <c r="J284" s="1" t="s">
        <v>23</v>
      </c>
      <c r="K284" s="1" t="s">
        <v>24</v>
      </c>
      <c r="L284" s="1">
        <v>12580</v>
      </c>
      <c r="M284" s="3">
        <f t="shared" si="12"/>
        <v>0.1240858505564388</v>
      </c>
      <c r="N284" s="1">
        <v>1561</v>
      </c>
      <c r="O284" s="4">
        <f t="shared" si="13"/>
        <v>15.455445544554456</v>
      </c>
      <c r="P284" s="1">
        <v>101</v>
      </c>
      <c r="Q284" s="1">
        <v>810.10072879999996</v>
      </c>
      <c r="R284" s="1">
        <v>2614.6699727455102</v>
      </c>
      <c r="S284" s="5">
        <f t="shared" si="14"/>
        <v>2613.6699727455102</v>
      </c>
      <c r="T284" s="1">
        <v>197</v>
      </c>
      <c r="U284" s="1">
        <v>34</v>
      </c>
      <c r="V284" s="1">
        <v>14</v>
      </c>
      <c r="W284" s="1">
        <v>1301</v>
      </c>
      <c r="X284" s="1">
        <v>0.73988517600000003</v>
      </c>
    </row>
    <row r="285" spans="1:24" x14ac:dyDescent="0.3">
      <c r="A285" s="2">
        <v>45299</v>
      </c>
      <c r="B285" s="1" t="s">
        <v>40</v>
      </c>
      <c r="C285" s="1" t="s">
        <v>18</v>
      </c>
      <c r="D285" s="1" t="s">
        <v>27</v>
      </c>
      <c r="E285" s="1" t="s">
        <v>20</v>
      </c>
      <c r="F285" s="1">
        <v>20</v>
      </c>
      <c r="G285" s="1" t="str" cm="1">
        <f t="array" ref="G285">_xlfn.IFS(F285&lt;=25,"YOUTH",F285&lt;=48,"ADULT",TRUE,"SENIOR")</f>
        <v>YOUTH</v>
      </c>
      <c r="H285" s="1" t="s">
        <v>21</v>
      </c>
      <c r="I285" s="1" t="s">
        <v>43</v>
      </c>
      <c r="J285" s="1" t="s">
        <v>23</v>
      </c>
      <c r="K285" s="1" t="s">
        <v>31</v>
      </c>
      <c r="L285" s="1">
        <v>23286</v>
      </c>
      <c r="M285" s="3">
        <f t="shared" si="12"/>
        <v>0.13450141716052563</v>
      </c>
      <c r="N285" s="1">
        <v>3132</v>
      </c>
      <c r="O285" s="4">
        <f t="shared" si="13"/>
        <v>5.035369774919614</v>
      </c>
      <c r="P285" s="1">
        <v>622</v>
      </c>
      <c r="Q285" s="1">
        <v>2825.63823446385</v>
      </c>
      <c r="R285" s="1">
        <v>32405.949696775599</v>
      </c>
      <c r="S285" s="5">
        <f t="shared" si="14"/>
        <v>32404.949696775599</v>
      </c>
      <c r="T285" s="1">
        <v>555</v>
      </c>
      <c r="U285" s="1">
        <v>94</v>
      </c>
      <c r="V285" s="1">
        <v>44</v>
      </c>
      <c r="W285" s="1">
        <v>4093</v>
      </c>
      <c r="X285" s="1">
        <v>0.76595774003332895</v>
      </c>
    </row>
    <row r="286" spans="1:24" x14ac:dyDescent="0.3">
      <c r="A286" s="2">
        <v>45297</v>
      </c>
      <c r="B286" s="1" t="s">
        <v>40</v>
      </c>
      <c r="C286" s="1" t="s">
        <v>35</v>
      </c>
      <c r="D286" s="1" t="s">
        <v>19</v>
      </c>
      <c r="E286" s="1" t="s">
        <v>20</v>
      </c>
      <c r="F286" s="1">
        <v>34</v>
      </c>
      <c r="G286" s="1" t="str" cm="1">
        <f t="array" ref="G286">_xlfn.IFS(F286&lt;=25,"YOUTH",F286&lt;=48,"ADULT",TRUE,"SENIOR")</f>
        <v>ADULT</v>
      </c>
      <c r="H286" s="1" t="s">
        <v>21</v>
      </c>
      <c r="I286" s="1" t="s">
        <v>33</v>
      </c>
      <c r="J286" s="1" t="s">
        <v>38</v>
      </c>
      <c r="K286" s="1" t="s">
        <v>24</v>
      </c>
      <c r="L286" s="1">
        <v>28328</v>
      </c>
      <c r="M286" s="3">
        <f t="shared" si="12"/>
        <v>8.2709686529229026E-2</v>
      </c>
      <c r="N286" s="1">
        <v>2343</v>
      </c>
      <c r="O286" s="4">
        <f t="shared" si="13"/>
        <v>4.7333333333333334</v>
      </c>
      <c r="P286" s="1">
        <v>495</v>
      </c>
      <c r="Q286" s="1">
        <v>2684.8450683647902</v>
      </c>
      <c r="R286" s="1">
        <v>11640.7310799314</v>
      </c>
      <c r="S286" s="5">
        <f t="shared" si="14"/>
        <v>11639.7310799314</v>
      </c>
      <c r="T286" s="1">
        <v>554</v>
      </c>
      <c r="U286" s="1">
        <v>88</v>
      </c>
      <c r="V286" s="1">
        <v>25</v>
      </c>
      <c r="W286" s="1">
        <v>1905</v>
      </c>
      <c r="X286" s="1">
        <v>0.92950530126849096</v>
      </c>
    </row>
    <row r="287" spans="1:24" x14ac:dyDescent="0.3">
      <c r="A287" s="2">
        <v>45307</v>
      </c>
      <c r="B287" s="1" t="s">
        <v>25</v>
      </c>
      <c r="C287" s="1" t="s">
        <v>41</v>
      </c>
      <c r="D287" s="1" t="s">
        <v>32</v>
      </c>
      <c r="E287" s="1" t="s">
        <v>20</v>
      </c>
      <c r="F287" s="1">
        <v>50</v>
      </c>
      <c r="G287" s="1" t="str" cm="1">
        <f t="array" ref="G287">_xlfn.IFS(F287&lt;=25,"YOUTH",F287&lt;=48,"ADULT",TRUE,"SENIOR")</f>
        <v>SENIOR</v>
      </c>
      <c r="H287" s="1" t="s">
        <v>29</v>
      </c>
      <c r="I287" s="1" t="s">
        <v>22</v>
      </c>
      <c r="J287" s="1" t="s">
        <v>23</v>
      </c>
      <c r="K287" s="1" t="s">
        <v>31</v>
      </c>
      <c r="L287" s="1">
        <v>20093</v>
      </c>
      <c r="M287" s="3">
        <f t="shared" si="12"/>
        <v>8.9085751256656548E-2</v>
      </c>
      <c r="N287" s="1">
        <v>1790</v>
      </c>
      <c r="O287" s="4">
        <f t="shared" si="13"/>
        <v>9.7282608695652169</v>
      </c>
      <c r="P287" s="1">
        <v>184</v>
      </c>
      <c r="Q287" s="1">
        <v>2975.4738832184798</v>
      </c>
      <c r="R287" s="1">
        <v>9919.578168</v>
      </c>
      <c r="S287" s="5">
        <f t="shared" si="14"/>
        <v>9918.578168</v>
      </c>
      <c r="T287" s="1">
        <v>570</v>
      </c>
      <c r="U287" s="1">
        <v>96</v>
      </c>
      <c r="V287" s="1">
        <v>18</v>
      </c>
      <c r="W287" s="1">
        <v>808</v>
      </c>
      <c r="X287" s="1">
        <v>0.48423144601506601</v>
      </c>
    </row>
    <row r="288" spans="1:24" x14ac:dyDescent="0.3">
      <c r="A288" s="2">
        <v>45315</v>
      </c>
      <c r="B288" s="1" t="s">
        <v>25</v>
      </c>
      <c r="C288" s="1" t="s">
        <v>26</v>
      </c>
      <c r="D288" s="1" t="s">
        <v>36</v>
      </c>
      <c r="E288" s="1" t="s">
        <v>28</v>
      </c>
      <c r="F288" s="1">
        <v>29</v>
      </c>
      <c r="G288" s="1" t="str" cm="1">
        <f t="array" ref="G288">_xlfn.IFS(F288&lt;=25,"YOUTH",F288&lt;=48,"ADULT",TRUE,"SENIOR")</f>
        <v>ADULT</v>
      </c>
      <c r="H288" s="1" t="s">
        <v>29</v>
      </c>
      <c r="I288" s="1" t="s">
        <v>33</v>
      </c>
      <c r="J288" s="1" t="s">
        <v>23</v>
      </c>
      <c r="K288" s="1" t="s">
        <v>39</v>
      </c>
      <c r="L288" s="1">
        <v>22605</v>
      </c>
      <c r="M288" s="3">
        <f t="shared" si="12"/>
        <v>0.10373811103738111</v>
      </c>
      <c r="N288" s="1">
        <v>2345</v>
      </c>
      <c r="O288" s="4">
        <f t="shared" si="13"/>
        <v>14.565217391304348</v>
      </c>
      <c r="P288" s="1">
        <v>161</v>
      </c>
      <c r="Q288" s="1">
        <v>1179.43388472165</v>
      </c>
      <c r="R288" s="1">
        <v>1125.2865191656999</v>
      </c>
      <c r="S288" s="5">
        <f t="shared" si="14"/>
        <v>1124.2865191656999</v>
      </c>
      <c r="T288" s="1">
        <v>603</v>
      </c>
      <c r="U288" s="1">
        <v>90</v>
      </c>
      <c r="V288" s="1">
        <v>58</v>
      </c>
      <c r="W288" s="1">
        <v>830</v>
      </c>
      <c r="X288" s="1">
        <v>0.942175515858653</v>
      </c>
    </row>
    <row r="289" spans="1:24" x14ac:dyDescent="0.3">
      <c r="A289" s="2">
        <v>45339</v>
      </c>
      <c r="B289" s="1" t="s">
        <v>25</v>
      </c>
      <c r="C289" s="1" t="s">
        <v>41</v>
      </c>
      <c r="D289" s="1" t="s">
        <v>19</v>
      </c>
      <c r="E289" s="1" t="s">
        <v>20</v>
      </c>
      <c r="F289" s="1">
        <v>39</v>
      </c>
      <c r="G289" s="1" t="str" cm="1">
        <f t="array" ref="G289">_xlfn.IFS(F289&lt;=25,"YOUTH",F289&lt;=48,"ADULT",TRUE,"SENIOR")</f>
        <v>ADULT</v>
      </c>
      <c r="H289" s="1" t="s">
        <v>29</v>
      </c>
      <c r="I289" s="1" t="s">
        <v>22</v>
      </c>
      <c r="J289" s="1" t="s">
        <v>23</v>
      </c>
      <c r="K289" s="1" t="s">
        <v>31</v>
      </c>
      <c r="L289" s="1">
        <v>46365</v>
      </c>
      <c r="M289" s="3">
        <f t="shared" si="12"/>
        <v>0.14459182573061577</v>
      </c>
      <c r="N289" s="1">
        <v>6704</v>
      </c>
      <c r="O289" s="4">
        <f t="shared" si="13"/>
        <v>9.2214580467675376</v>
      </c>
      <c r="P289" s="1">
        <v>727</v>
      </c>
      <c r="Q289" s="1">
        <v>1407.42159841887</v>
      </c>
      <c r="R289" s="1">
        <v>17022.877153091202</v>
      </c>
      <c r="S289" s="5">
        <f t="shared" si="14"/>
        <v>17021.877153091202</v>
      </c>
      <c r="T289" s="1">
        <v>617</v>
      </c>
      <c r="U289" s="1">
        <v>92</v>
      </c>
      <c r="V289" s="1">
        <v>16</v>
      </c>
      <c r="W289" s="1">
        <v>7748</v>
      </c>
      <c r="X289" s="1">
        <v>0.76007173431472497</v>
      </c>
    </row>
    <row r="290" spans="1:24" x14ac:dyDescent="0.3">
      <c r="A290" s="2">
        <v>45330</v>
      </c>
      <c r="B290" s="1" t="s">
        <v>40</v>
      </c>
      <c r="C290" s="1" t="s">
        <v>18</v>
      </c>
      <c r="D290" s="1" t="s">
        <v>19</v>
      </c>
      <c r="E290" s="1" t="s">
        <v>28</v>
      </c>
      <c r="F290" s="1">
        <v>39</v>
      </c>
      <c r="G290" s="1" t="str" cm="1">
        <f t="array" ref="G290">_xlfn.IFS(F290&lt;=25,"YOUTH",F290&lt;=48,"ADULT",TRUE,"SENIOR")</f>
        <v>ADULT</v>
      </c>
      <c r="H290" s="1" t="s">
        <v>29</v>
      </c>
      <c r="I290" s="1" t="s">
        <v>33</v>
      </c>
      <c r="J290" s="1" t="s">
        <v>38</v>
      </c>
      <c r="K290" s="1" t="s">
        <v>31</v>
      </c>
      <c r="L290" s="1">
        <v>45813</v>
      </c>
      <c r="M290" s="3">
        <f t="shared" si="12"/>
        <v>9.4361862353480458E-2</v>
      </c>
      <c r="N290" s="1">
        <v>4323</v>
      </c>
      <c r="O290" s="4">
        <f t="shared" si="13"/>
        <v>5.2655298416565168</v>
      </c>
      <c r="P290" s="1">
        <v>821</v>
      </c>
      <c r="Q290" s="1">
        <v>1332.5139651429299</v>
      </c>
      <c r="R290" s="1">
        <v>30714.577071185398</v>
      </c>
      <c r="S290" s="5">
        <f t="shared" si="14"/>
        <v>30713.577071185398</v>
      </c>
      <c r="T290" s="1">
        <v>325</v>
      </c>
      <c r="U290" s="1">
        <v>48</v>
      </c>
      <c r="V290" s="1">
        <v>8</v>
      </c>
      <c r="W290" s="1">
        <v>7086</v>
      </c>
      <c r="X290" s="1">
        <v>0.64982598173896</v>
      </c>
    </row>
    <row r="291" spans="1:24" x14ac:dyDescent="0.3">
      <c r="A291" s="2">
        <v>45321</v>
      </c>
      <c r="B291" s="1" t="s">
        <v>40</v>
      </c>
      <c r="C291" s="1" t="s">
        <v>35</v>
      </c>
      <c r="D291" s="1" t="s">
        <v>27</v>
      </c>
      <c r="E291" s="1" t="s">
        <v>20</v>
      </c>
      <c r="F291" s="1">
        <v>47</v>
      </c>
      <c r="G291" s="1" t="str" cm="1">
        <f t="array" ref="G291">_xlfn.IFS(F291&lt;=25,"YOUTH",F291&lt;=48,"ADULT",TRUE,"SENIOR")</f>
        <v>ADULT</v>
      </c>
      <c r="H291" s="1" t="s">
        <v>21</v>
      </c>
      <c r="I291" s="1" t="s">
        <v>37</v>
      </c>
      <c r="J291" s="1" t="s">
        <v>23</v>
      </c>
      <c r="K291" s="1" t="s">
        <v>31</v>
      </c>
      <c r="L291" s="1">
        <v>47371</v>
      </c>
      <c r="M291" s="3">
        <f t="shared" si="12"/>
        <v>8.8324080133414959E-2</v>
      </c>
      <c r="N291" s="1">
        <v>4184</v>
      </c>
      <c r="O291" s="4">
        <f t="shared" si="13"/>
        <v>8.6268041237113398</v>
      </c>
      <c r="P291" s="1">
        <v>485</v>
      </c>
      <c r="Q291" s="1">
        <v>4888.8743384589598</v>
      </c>
      <c r="R291" s="1">
        <v>3845.5033200193402</v>
      </c>
      <c r="S291" s="5">
        <f t="shared" si="14"/>
        <v>3844.5033200193402</v>
      </c>
      <c r="T291" s="1">
        <v>1355</v>
      </c>
      <c r="U291" s="1">
        <v>172</v>
      </c>
      <c r="V291" s="1">
        <v>80</v>
      </c>
      <c r="W291" s="1">
        <v>4952</v>
      </c>
      <c r="X291" s="1">
        <v>0.88850682421648697</v>
      </c>
    </row>
    <row r="292" spans="1:24" x14ac:dyDescent="0.3">
      <c r="A292" s="2">
        <v>45336</v>
      </c>
      <c r="B292" s="1" t="s">
        <v>34</v>
      </c>
      <c r="C292" s="1" t="s">
        <v>26</v>
      </c>
      <c r="D292" s="1" t="s">
        <v>32</v>
      </c>
      <c r="E292" s="1" t="s">
        <v>20</v>
      </c>
      <c r="F292" s="1">
        <v>55</v>
      </c>
      <c r="G292" s="1" t="str" cm="1">
        <f t="array" ref="G292">_xlfn.IFS(F292&lt;=25,"YOUTH",F292&lt;=48,"ADULT",TRUE,"SENIOR")</f>
        <v>SENIOR</v>
      </c>
      <c r="H292" s="1" t="s">
        <v>21</v>
      </c>
      <c r="I292" s="1" t="s">
        <v>43</v>
      </c>
      <c r="J292" s="1" t="s">
        <v>23</v>
      </c>
      <c r="K292" s="1" t="s">
        <v>31</v>
      </c>
      <c r="L292" s="1">
        <v>43705</v>
      </c>
      <c r="M292" s="3">
        <f t="shared" si="12"/>
        <v>1.2012355565724745E-2</v>
      </c>
      <c r="N292" s="1">
        <v>525</v>
      </c>
      <c r="O292" s="4">
        <f t="shared" si="13"/>
        <v>5.3030303030303028</v>
      </c>
      <c r="P292" s="1">
        <v>99</v>
      </c>
      <c r="Q292" s="1">
        <v>6210.6478800000004</v>
      </c>
      <c r="R292" s="1">
        <v>1692.12918492417</v>
      </c>
      <c r="S292" s="5">
        <f t="shared" si="14"/>
        <v>1691.12918492417</v>
      </c>
      <c r="T292" s="1">
        <v>783</v>
      </c>
      <c r="U292" s="1">
        <v>81</v>
      </c>
      <c r="V292" s="1">
        <v>66</v>
      </c>
      <c r="W292" s="1">
        <v>2719</v>
      </c>
      <c r="X292" s="1">
        <v>0.78196385800000001</v>
      </c>
    </row>
    <row r="293" spans="1:24" x14ac:dyDescent="0.3">
      <c r="A293" s="2">
        <v>45304</v>
      </c>
      <c r="B293" s="1" t="s">
        <v>34</v>
      </c>
      <c r="C293" s="1" t="s">
        <v>41</v>
      </c>
      <c r="D293" s="1" t="s">
        <v>27</v>
      </c>
      <c r="E293" s="1" t="s">
        <v>28</v>
      </c>
      <c r="F293" s="1">
        <v>55</v>
      </c>
      <c r="G293" s="1" t="str" cm="1">
        <f t="array" ref="G293">_xlfn.IFS(F293&lt;=25,"YOUTH",F293&lt;=48,"ADULT",TRUE,"SENIOR")</f>
        <v>SENIOR</v>
      </c>
      <c r="H293" s="1" t="s">
        <v>29</v>
      </c>
      <c r="I293" s="1" t="s">
        <v>22</v>
      </c>
      <c r="J293" s="1" t="s">
        <v>38</v>
      </c>
      <c r="K293" s="1" t="s">
        <v>39</v>
      </c>
      <c r="L293" s="1">
        <v>48598</v>
      </c>
      <c r="M293" s="3">
        <f t="shared" si="12"/>
        <v>2.131774970163381E-2</v>
      </c>
      <c r="N293" s="1">
        <v>1036</v>
      </c>
      <c r="O293" s="4">
        <f t="shared" si="13"/>
        <v>22.042553191489361</v>
      </c>
      <c r="P293" s="1">
        <v>47</v>
      </c>
      <c r="Q293" s="1">
        <v>984.16533219999997</v>
      </c>
      <c r="R293" s="1">
        <v>3090.01047891387</v>
      </c>
      <c r="S293" s="5">
        <f t="shared" si="14"/>
        <v>3089.01047891387</v>
      </c>
      <c r="T293" s="1">
        <v>333</v>
      </c>
      <c r="U293" s="1">
        <v>53</v>
      </c>
      <c r="V293" s="1">
        <v>27</v>
      </c>
      <c r="W293" s="1">
        <v>6742</v>
      </c>
      <c r="X293" s="1">
        <v>0.59179446817135795</v>
      </c>
    </row>
    <row r="294" spans="1:24" x14ac:dyDescent="0.3">
      <c r="A294" s="2">
        <v>45296</v>
      </c>
      <c r="B294" s="1" t="s">
        <v>40</v>
      </c>
      <c r="C294" s="1" t="s">
        <v>18</v>
      </c>
      <c r="D294" s="1" t="s">
        <v>32</v>
      </c>
      <c r="E294" s="1" t="s">
        <v>20</v>
      </c>
      <c r="F294" s="1">
        <v>25</v>
      </c>
      <c r="G294" s="1" t="str" cm="1">
        <f t="array" ref="G294">_xlfn.IFS(F294&lt;=25,"YOUTH",F294&lt;=48,"ADULT",TRUE,"SENIOR")</f>
        <v>YOUTH</v>
      </c>
      <c r="H294" s="1" t="s">
        <v>21</v>
      </c>
      <c r="I294" s="1" t="s">
        <v>33</v>
      </c>
      <c r="J294" s="1" t="s">
        <v>23</v>
      </c>
      <c r="K294" s="1" t="s">
        <v>24</v>
      </c>
      <c r="L294" s="1">
        <v>7722</v>
      </c>
      <c r="M294" s="3">
        <f t="shared" si="12"/>
        <v>9.0779590779590774E-2</v>
      </c>
      <c r="N294" s="1">
        <v>701</v>
      </c>
      <c r="O294" s="4">
        <f t="shared" si="13"/>
        <v>4.9020979020979025</v>
      </c>
      <c r="P294" s="1">
        <v>143</v>
      </c>
      <c r="Q294" s="1">
        <v>883.01252319903404</v>
      </c>
      <c r="R294" s="1">
        <v>9794.6744949999993</v>
      </c>
      <c r="S294" s="5">
        <f t="shared" si="14"/>
        <v>9793.6744949999993</v>
      </c>
      <c r="T294" s="1">
        <v>196</v>
      </c>
      <c r="U294" s="1">
        <v>18</v>
      </c>
      <c r="V294" s="1">
        <v>18</v>
      </c>
      <c r="W294" s="1">
        <v>133</v>
      </c>
      <c r="X294" s="1">
        <v>0.88624713311705305</v>
      </c>
    </row>
    <row r="295" spans="1:24" x14ac:dyDescent="0.3">
      <c r="A295" s="2">
        <v>45316</v>
      </c>
      <c r="B295" s="1" t="s">
        <v>34</v>
      </c>
      <c r="C295" s="1" t="s">
        <v>26</v>
      </c>
      <c r="D295" s="1" t="s">
        <v>32</v>
      </c>
      <c r="E295" s="1" t="s">
        <v>20</v>
      </c>
      <c r="F295" s="1">
        <v>44</v>
      </c>
      <c r="G295" s="1" t="str" cm="1">
        <f t="array" ref="G295">_xlfn.IFS(F295&lt;=25,"YOUTH",F295&lt;=48,"ADULT",TRUE,"SENIOR")</f>
        <v>ADULT</v>
      </c>
      <c r="H295" s="1" t="s">
        <v>29</v>
      </c>
      <c r="I295" s="1" t="s">
        <v>33</v>
      </c>
      <c r="J295" s="1" t="s">
        <v>23</v>
      </c>
      <c r="K295" s="1" t="s">
        <v>39</v>
      </c>
      <c r="L295" s="1">
        <v>41969</v>
      </c>
      <c r="M295" s="3">
        <f t="shared" si="12"/>
        <v>0.14105649407896304</v>
      </c>
      <c r="N295" s="1">
        <v>5920</v>
      </c>
      <c r="O295" s="4">
        <f t="shared" si="13"/>
        <v>12.786177105831534</v>
      </c>
      <c r="P295" s="1">
        <v>463</v>
      </c>
      <c r="Q295" s="1">
        <v>4424.3079239442704</v>
      </c>
      <c r="R295" s="1">
        <v>24577.774666716599</v>
      </c>
      <c r="S295" s="5">
        <f t="shared" si="14"/>
        <v>24576.774666716599</v>
      </c>
      <c r="T295" s="1">
        <v>1121</v>
      </c>
      <c r="U295" s="1">
        <v>147</v>
      </c>
      <c r="V295" s="1">
        <v>35</v>
      </c>
      <c r="W295" s="1">
        <v>4950</v>
      </c>
      <c r="X295" s="1">
        <v>0.76663850125074395</v>
      </c>
    </row>
    <row r="296" spans="1:24" x14ac:dyDescent="0.3">
      <c r="A296" s="2">
        <v>45311</v>
      </c>
      <c r="B296" s="1" t="s">
        <v>25</v>
      </c>
      <c r="C296" s="1" t="s">
        <v>35</v>
      </c>
      <c r="D296" s="1" t="s">
        <v>36</v>
      </c>
      <c r="E296" s="1" t="s">
        <v>28</v>
      </c>
      <c r="F296" s="1">
        <v>44</v>
      </c>
      <c r="G296" s="1" t="str" cm="1">
        <f t="array" ref="G296">_xlfn.IFS(F296&lt;=25,"YOUTH",F296&lt;=48,"ADULT",TRUE,"SENIOR")</f>
        <v>ADULT</v>
      </c>
      <c r="H296" s="1" t="s">
        <v>21</v>
      </c>
      <c r="I296" s="1" t="s">
        <v>33</v>
      </c>
      <c r="J296" s="1" t="s">
        <v>23</v>
      </c>
      <c r="K296" s="1" t="s">
        <v>31</v>
      </c>
      <c r="L296" s="1">
        <v>37912</v>
      </c>
      <c r="M296" s="3">
        <f t="shared" si="12"/>
        <v>0.1313304494619118</v>
      </c>
      <c r="N296" s="1">
        <v>4979</v>
      </c>
      <c r="O296" s="4">
        <f t="shared" si="13"/>
        <v>12.966145833333334</v>
      </c>
      <c r="P296" s="1">
        <v>384</v>
      </c>
      <c r="Q296" s="1">
        <v>4367.4451496051697</v>
      </c>
      <c r="R296" s="1">
        <v>8214.9132633981408</v>
      </c>
      <c r="S296" s="5">
        <f t="shared" si="14"/>
        <v>8213.9132633981408</v>
      </c>
      <c r="T296" s="1">
        <v>795</v>
      </c>
      <c r="U296" s="1">
        <v>91</v>
      </c>
      <c r="V296" s="1">
        <v>39</v>
      </c>
      <c r="W296" s="1">
        <v>3249</v>
      </c>
      <c r="X296" s="1">
        <v>0.78436054568682001</v>
      </c>
    </row>
    <row r="297" spans="1:24" x14ac:dyDescent="0.3">
      <c r="A297" s="2">
        <v>45345</v>
      </c>
      <c r="B297" s="1" t="s">
        <v>17</v>
      </c>
      <c r="C297" s="1" t="s">
        <v>26</v>
      </c>
      <c r="D297" s="1" t="s">
        <v>19</v>
      </c>
      <c r="E297" s="1" t="s">
        <v>20</v>
      </c>
      <c r="F297" s="1">
        <v>51</v>
      </c>
      <c r="G297" s="1" t="str" cm="1">
        <f t="array" ref="G297">_xlfn.IFS(F297&lt;=25,"YOUTH",F297&lt;=48,"ADULT",TRUE,"SENIOR")</f>
        <v>SENIOR</v>
      </c>
      <c r="H297" s="1" t="s">
        <v>21</v>
      </c>
      <c r="I297" s="1" t="s">
        <v>37</v>
      </c>
      <c r="J297" s="1" t="s">
        <v>23</v>
      </c>
      <c r="K297" s="1" t="s">
        <v>31</v>
      </c>
      <c r="L297" s="1">
        <v>39374</v>
      </c>
      <c r="M297" s="3">
        <f t="shared" si="12"/>
        <v>0.14755930309341189</v>
      </c>
      <c r="N297" s="1">
        <v>5810</v>
      </c>
      <c r="O297" s="4">
        <f t="shared" si="13"/>
        <v>6.4198895027624312</v>
      </c>
      <c r="P297" s="1">
        <v>905</v>
      </c>
      <c r="Q297" s="1">
        <v>2606.66522316182</v>
      </c>
      <c r="R297" s="1">
        <v>19849.938727770801</v>
      </c>
      <c r="S297" s="5">
        <f t="shared" si="14"/>
        <v>19848.938727770801</v>
      </c>
      <c r="T297" s="1">
        <v>637</v>
      </c>
      <c r="U297" s="1">
        <v>58</v>
      </c>
      <c r="V297" s="1">
        <v>27</v>
      </c>
      <c r="W297" s="1">
        <v>7709</v>
      </c>
      <c r="X297" s="1">
        <v>0.89301443844731399</v>
      </c>
    </row>
    <row r="298" spans="1:24" x14ac:dyDescent="0.3">
      <c r="A298" s="2">
        <v>45309</v>
      </c>
      <c r="B298" s="1" t="s">
        <v>34</v>
      </c>
      <c r="C298" s="1" t="s">
        <v>35</v>
      </c>
      <c r="D298" s="1" t="s">
        <v>19</v>
      </c>
      <c r="E298" s="1" t="s">
        <v>28</v>
      </c>
      <c r="F298" s="1">
        <v>38</v>
      </c>
      <c r="G298" s="1" t="str" cm="1">
        <f t="array" ref="G298">_xlfn.IFS(F298&lt;=25,"YOUTH",F298&lt;=48,"ADULT",TRUE,"SENIOR")</f>
        <v>ADULT</v>
      </c>
      <c r="H298" s="1" t="s">
        <v>21</v>
      </c>
      <c r="I298" s="1" t="s">
        <v>37</v>
      </c>
      <c r="J298" s="1" t="s">
        <v>23</v>
      </c>
      <c r="K298" s="1" t="s">
        <v>31</v>
      </c>
      <c r="L298" s="1">
        <v>7766</v>
      </c>
      <c r="M298" s="3">
        <f t="shared" si="12"/>
        <v>8.3826937934586662E-2</v>
      </c>
      <c r="N298" s="1">
        <v>651</v>
      </c>
      <c r="O298" s="4">
        <f t="shared" si="13"/>
        <v>28.304347826086957</v>
      </c>
      <c r="P298" s="1">
        <v>23</v>
      </c>
      <c r="Q298" s="1">
        <v>983.67680059767702</v>
      </c>
      <c r="R298" s="1">
        <v>1080.4565849036301</v>
      </c>
      <c r="S298" s="5">
        <f t="shared" si="14"/>
        <v>1079.4565849036301</v>
      </c>
      <c r="T298" s="1">
        <v>167</v>
      </c>
      <c r="U298" s="1">
        <v>32</v>
      </c>
      <c r="V298" s="1">
        <v>14</v>
      </c>
      <c r="W298" s="1">
        <v>826</v>
      </c>
      <c r="X298" s="1">
        <v>0.64662891438297998</v>
      </c>
    </row>
    <row r="299" spans="1:24" x14ac:dyDescent="0.3">
      <c r="A299" s="2">
        <v>45338</v>
      </c>
      <c r="B299" s="1" t="s">
        <v>40</v>
      </c>
      <c r="C299" s="1" t="s">
        <v>26</v>
      </c>
      <c r="D299" s="1" t="s">
        <v>19</v>
      </c>
      <c r="E299" s="1" t="s">
        <v>28</v>
      </c>
      <c r="F299" s="1">
        <v>47</v>
      </c>
      <c r="G299" s="1" t="str" cm="1">
        <f t="array" ref="G299">_xlfn.IFS(F299&lt;=25,"YOUTH",F299&lt;=48,"ADULT",TRUE,"SENIOR")</f>
        <v>ADULT</v>
      </c>
      <c r="H299" s="1" t="s">
        <v>29</v>
      </c>
      <c r="I299" s="1" t="s">
        <v>22</v>
      </c>
      <c r="J299" s="1" t="s">
        <v>23</v>
      </c>
      <c r="K299" s="1" t="s">
        <v>39</v>
      </c>
      <c r="L299" s="1">
        <v>16928</v>
      </c>
      <c r="M299" s="3">
        <f t="shared" si="12"/>
        <v>0.12027410207939508</v>
      </c>
      <c r="N299" s="1">
        <v>2036</v>
      </c>
      <c r="O299" s="4">
        <f t="shared" si="13"/>
        <v>38.415094339622641</v>
      </c>
      <c r="P299" s="1">
        <v>53</v>
      </c>
      <c r="Q299" s="1">
        <v>436.94386155760401</v>
      </c>
      <c r="R299" s="1">
        <v>670.13067918252705</v>
      </c>
      <c r="S299" s="5">
        <f t="shared" si="14"/>
        <v>669.13067918252705</v>
      </c>
      <c r="T299" s="1">
        <v>383</v>
      </c>
      <c r="U299" s="1">
        <v>34</v>
      </c>
      <c r="V299" s="1">
        <v>22</v>
      </c>
      <c r="W299" s="1">
        <v>1945</v>
      </c>
      <c r="X299" s="1">
        <v>0.76129725827786598</v>
      </c>
    </row>
    <row r="300" spans="1:24" x14ac:dyDescent="0.3">
      <c r="A300" s="2">
        <v>45309</v>
      </c>
      <c r="B300" s="1" t="s">
        <v>34</v>
      </c>
      <c r="C300" s="1" t="s">
        <v>41</v>
      </c>
      <c r="D300" s="1" t="s">
        <v>32</v>
      </c>
      <c r="E300" s="1" t="s">
        <v>28</v>
      </c>
      <c r="F300" s="1">
        <v>50</v>
      </c>
      <c r="G300" s="1" t="str" cm="1">
        <f t="array" ref="G300">_xlfn.IFS(F300&lt;=25,"YOUTH",F300&lt;=48,"ADULT",TRUE,"SENIOR")</f>
        <v>SENIOR</v>
      </c>
      <c r="H300" s="1" t="s">
        <v>42</v>
      </c>
      <c r="I300" s="1" t="s">
        <v>22</v>
      </c>
      <c r="J300" s="1" t="s">
        <v>38</v>
      </c>
      <c r="K300" s="1" t="s">
        <v>39</v>
      </c>
      <c r="L300" s="1">
        <v>22274</v>
      </c>
      <c r="M300" s="3">
        <f t="shared" si="12"/>
        <v>0.12763760438179042</v>
      </c>
      <c r="N300" s="1">
        <v>2843</v>
      </c>
      <c r="O300" s="4">
        <f t="shared" si="13"/>
        <v>12.524229074889869</v>
      </c>
      <c r="P300" s="1">
        <v>227</v>
      </c>
      <c r="Q300" s="1">
        <v>2632.9214035831501</v>
      </c>
      <c r="R300" s="1">
        <v>15127.30490825</v>
      </c>
      <c r="S300" s="5">
        <f t="shared" si="14"/>
        <v>15126.30490825</v>
      </c>
      <c r="T300" s="1">
        <v>608</v>
      </c>
      <c r="U300" s="1">
        <v>58</v>
      </c>
      <c r="V300" s="1">
        <v>13</v>
      </c>
      <c r="W300" s="1">
        <v>3237</v>
      </c>
      <c r="X300" s="1">
        <v>0.80957896190077905</v>
      </c>
    </row>
    <row r="301" spans="1:24" x14ac:dyDescent="0.3">
      <c r="A301" s="2">
        <v>45293</v>
      </c>
      <c r="B301" s="1" t="s">
        <v>34</v>
      </c>
      <c r="C301" s="1" t="s">
        <v>18</v>
      </c>
      <c r="D301" s="1" t="s">
        <v>19</v>
      </c>
      <c r="E301" s="1" t="s">
        <v>28</v>
      </c>
      <c r="F301" s="1">
        <v>45</v>
      </c>
      <c r="G301" s="1" t="str" cm="1">
        <f t="array" ref="G301">_xlfn.IFS(F301&lt;=25,"YOUTH",F301&lt;=48,"ADULT",TRUE,"SENIOR")</f>
        <v>ADULT</v>
      </c>
      <c r="H301" s="1" t="s">
        <v>29</v>
      </c>
      <c r="I301" s="1" t="s">
        <v>37</v>
      </c>
      <c r="J301" s="1" t="s">
        <v>23</v>
      </c>
      <c r="K301" s="1" t="s">
        <v>24</v>
      </c>
      <c r="L301" s="1">
        <v>35416</v>
      </c>
      <c r="M301" s="3">
        <f t="shared" si="12"/>
        <v>0.10071718997063474</v>
      </c>
      <c r="N301" s="1">
        <v>3567</v>
      </c>
      <c r="O301" s="4">
        <f t="shared" si="13"/>
        <v>6.966796875</v>
      </c>
      <c r="P301" s="1">
        <v>512</v>
      </c>
      <c r="Q301" s="1">
        <v>1937.9405837265001</v>
      </c>
      <c r="R301" s="1">
        <v>10041.7732956989</v>
      </c>
      <c r="S301" s="5">
        <f t="shared" si="14"/>
        <v>10040.7732956989</v>
      </c>
      <c r="T301" s="1">
        <v>1023</v>
      </c>
      <c r="U301" s="1">
        <v>75</v>
      </c>
      <c r="V301" s="1">
        <v>78</v>
      </c>
      <c r="W301" s="1">
        <v>3614</v>
      </c>
      <c r="X301" s="1">
        <v>0.64966703197192899</v>
      </c>
    </row>
    <row r="302" spans="1:24" x14ac:dyDescent="0.3">
      <c r="A302" s="2">
        <v>45301</v>
      </c>
      <c r="B302" s="1" t="s">
        <v>34</v>
      </c>
      <c r="C302" s="1" t="s">
        <v>41</v>
      </c>
      <c r="D302" s="1" t="s">
        <v>36</v>
      </c>
      <c r="E302" s="1" t="s">
        <v>20</v>
      </c>
      <c r="F302" s="1">
        <v>50</v>
      </c>
      <c r="G302" s="1" t="str" cm="1">
        <f t="array" ref="G302">_xlfn.IFS(F302&lt;=25,"YOUTH",F302&lt;=48,"ADULT",TRUE,"SENIOR")</f>
        <v>SENIOR</v>
      </c>
      <c r="H302" s="1" t="s">
        <v>29</v>
      </c>
      <c r="I302" s="1" t="s">
        <v>22</v>
      </c>
      <c r="J302" s="1" t="s">
        <v>23</v>
      </c>
      <c r="K302" s="1" t="s">
        <v>31</v>
      </c>
      <c r="L302" s="1">
        <v>21612</v>
      </c>
      <c r="M302" s="3">
        <f t="shared" si="12"/>
        <v>5.7421802702202478E-2</v>
      </c>
      <c r="N302" s="1">
        <v>1241</v>
      </c>
      <c r="O302" s="4">
        <f t="shared" si="13"/>
        <v>4.3851590106007068</v>
      </c>
      <c r="P302" s="1">
        <v>283</v>
      </c>
      <c r="Q302" s="1">
        <v>1771.9443387302399</v>
      </c>
      <c r="R302" s="1">
        <v>19803.297329700999</v>
      </c>
      <c r="S302" s="5">
        <f t="shared" si="14"/>
        <v>19802.297329700999</v>
      </c>
      <c r="T302" s="1">
        <v>385</v>
      </c>
      <c r="U302" s="1">
        <v>66</v>
      </c>
      <c r="V302" s="1">
        <v>19</v>
      </c>
      <c r="W302" s="1">
        <v>1138</v>
      </c>
      <c r="X302" s="1">
        <v>0.44589866365578601</v>
      </c>
    </row>
    <row r="303" spans="1:24" x14ac:dyDescent="0.3">
      <c r="A303" s="2">
        <v>45346</v>
      </c>
      <c r="B303" s="1" t="s">
        <v>17</v>
      </c>
      <c r="C303" s="1" t="s">
        <v>41</v>
      </c>
      <c r="D303" s="1" t="s">
        <v>32</v>
      </c>
      <c r="E303" s="1" t="s">
        <v>20</v>
      </c>
      <c r="F303" s="1">
        <v>22</v>
      </c>
      <c r="G303" s="1" t="str" cm="1">
        <f t="array" ref="G303">_xlfn.IFS(F303&lt;=25,"YOUTH",F303&lt;=48,"ADULT",TRUE,"SENIOR")</f>
        <v>YOUTH</v>
      </c>
      <c r="H303" s="1" t="s">
        <v>29</v>
      </c>
      <c r="I303" s="1" t="s">
        <v>43</v>
      </c>
      <c r="J303" s="1" t="s">
        <v>23</v>
      </c>
      <c r="K303" s="1" t="s">
        <v>39</v>
      </c>
      <c r="L303" s="1">
        <v>35898</v>
      </c>
      <c r="M303" s="3">
        <f t="shared" si="12"/>
        <v>7.5770237896261625E-2</v>
      </c>
      <c r="N303" s="1">
        <v>2720</v>
      </c>
      <c r="O303" s="4">
        <f t="shared" si="13"/>
        <v>4.6655231560891934</v>
      </c>
      <c r="P303" s="1">
        <v>583</v>
      </c>
      <c r="Q303" s="1">
        <v>4556.98959392694</v>
      </c>
      <c r="R303" s="1">
        <v>21700.832172986698</v>
      </c>
      <c r="S303" s="5">
        <f t="shared" si="14"/>
        <v>21699.832172986698</v>
      </c>
      <c r="T303" s="1">
        <v>896</v>
      </c>
      <c r="U303" s="1">
        <v>123</v>
      </c>
      <c r="V303" s="1">
        <v>55</v>
      </c>
      <c r="W303" s="1">
        <v>4023</v>
      </c>
      <c r="X303" s="1">
        <v>0.82429187300189799</v>
      </c>
    </row>
    <row r="304" spans="1:24" x14ac:dyDescent="0.3">
      <c r="A304" s="2">
        <v>45336</v>
      </c>
      <c r="B304" s="1" t="s">
        <v>25</v>
      </c>
      <c r="C304" s="1" t="s">
        <v>35</v>
      </c>
      <c r="D304" s="1" t="s">
        <v>32</v>
      </c>
      <c r="E304" s="1" t="s">
        <v>20</v>
      </c>
      <c r="F304" s="1">
        <v>36</v>
      </c>
      <c r="G304" s="1" t="str" cm="1">
        <f t="array" ref="G304">_xlfn.IFS(F304&lt;=25,"YOUTH",F304&lt;=48,"ADULT",TRUE,"SENIOR")</f>
        <v>ADULT</v>
      </c>
      <c r="H304" s="1" t="s">
        <v>29</v>
      </c>
      <c r="I304" s="1" t="s">
        <v>43</v>
      </c>
      <c r="J304" s="1" t="s">
        <v>23</v>
      </c>
      <c r="K304" s="1" t="s">
        <v>31</v>
      </c>
      <c r="L304" s="1">
        <v>48160</v>
      </c>
      <c r="M304" s="3">
        <f t="shared" si="12"/>
        <v>0.1301079734219269</v>
      </c>
      <c r="N304" s="1">
        <v>6266</v>
      </c>
      <c r="O304" s="4">
        <f t="shared" si="13"/>
        <v>7.53125</v>
      </c>
      <c r="P304" s="1">
        <v>832</v>
      </c>
      <c r="Q304" s="1">
        <v>2662.1246475246699</v>
      </c>
      <c r="R304" s="1">
        <v>45878.933799999999</v>
      </c>
      <c r="S304" s="5">
        <f t="shared" si="14"/>
        <v>45877.933799999999</v>
      </c>
      <c r="T304" s="1">
        <v>1402</v>
      </c>
      <c r="U304" s="1">
        <v>199</v>
      </c>
      <c r="V304" s="1">
        <v>128</v>
      </c>
      <c r="W304" s="1">
        <v>9122</v>
      </c>
      <c r="X304" s="1">
        <v>0.42629899399999999</v>
      </c>
    </row>
    <row r="305" spans="1:24" x14ac:dyDescent="0.3">
      <c r="A305" s="2">
        <v>45341</v>
      </c>
      <c r="B305" s="1" t="s">
        <v>40</v>
      </c>
      <c r="C305" s="1" t="s">
        <v>35</v>
      </c>
      <c r="D305" s="1" t="s">
        <v>32</v>
      </c>
      <c r="E305" s="1" t="s">
        <v>28</v>
      </c>
      <c r="F305" s="1">
        <v>21</v>
      </c>
      <c r="G305" s="1" t="str" cm="1">
        <f t="array" ref="G305">_xlfn.IFS(F305&lt;=25,"YOUTH",F305&lt;=48,"ADULT",TRUE,"SENIOR")</f>
        <v>YOUTH</v>
      </c>
      <c r="H305" s="1" t="s">
        <v>42</v>
      </c>
      <c r="I305" s="1" t="s">
        <v>37</v>
      </c>
      <c r="J305" s="1" t="s">
        <v>23</v>
      </c>
      <c r="K305" s="1" t="s">
        <v>39</v>
      </c>
      <c r="L305" s="1">
        <v>30047</v>
      </c>
      <c r="M305" s="3">
        <f t="shared" si="12"/>
        <v>5.1785535993610014E-2</v>
      </c>
      <c r="N305" s="1">
        <v>1556</v>
      </c>
      <c r="O305" s="4">
        <f t="shared" si="13"/>
        <v>35.363636363636367</v>
      </c>
      <c r="P305" s="1">
        <v>44</v>
      </c>
      <c r="Q305" s="1">
        <v>1324.38091330732</v>
      </c>
      <c r="R305" s="1">
        <v>226.24651028589301</v>
      </c>
      <c r="S305" s="5">
        <f t="shared" si="14"/>
        <v>225.24651028589301</v>
      </c>
      <c r="T305" s="1">
        <v>263</v>
      </c>
      <c r="U305" s="1">
        <v>45</v>
      </c>
      <c r="V305" s="1">
        <v>10</v>
      </c>
      <c r="W305" s="1">
        <v>2640</v>
      </c>
      <c r="X305" s="1">
        <v>0.79485292094750504</v>
      </c>
    </row>
    <row r="306" spans="1:24" x14ac:dyDescent="0.3">
      <c r="A306" s="2">
        <v>45338</v>
      </c>
      <c r="B306" s="1" t="s">
        <v>17</v>
      </c>
      <c r="C306" s="1" t="s">
        <v>35</v>
      </c>
      <c r="D306" s="1" t="s">
        <v>32</v>
      </c>
      <c r="E306" s="1" t="s">
        <v>20</v>
      </c>
      <c r="F306" s="1">
        <v>52</v>
      </c>
      <c r="G306" s="1" t="str" cm="1">
        <f t="array" ref="G306">_xlfn.IFS(F306&lt;=25,"YOUTH",F306&lt;=48,"ADULT",TRUE,"SENIOR")</f>
        <v>SENIOR</v>
      </c>
      <c r="H306" s="1" t="s">
        <v>21</v>
      </c>
      <c r="I306" s="1" t="s">
        <v>22</v>
      </c>
      <c r="J306" s="1" t="s">
        <v>38</v>
      </c>
      <c r="K306" s="1" t="s">
        <v>39</v>
      </c>
      <c r="L306" s="1">
        <v>44356</v>
      </c>
      <c r="M306" s="3">
        <f t="shared" si="12"/>
        <v>0.13930471638560735</v>
      </c>
      <c r="N306" s="1">
        <v>6179</v>
      </c>
      <c r="O306" s="4">
        <f t="shared" si="13"/>
        <v>6.9898190045248869</v>
      </c>
      <c r="P306" s="1">
        <v>884</v>
      </c>
      <c r="Q306" s="1">
        <v>4815.7625944077899</v>
      </c>
      <c r="R306" s="1">
        <v>55487.368417029298</v>
      </c>
      <c r="S306" s="5">
        <f t="shared" si="14"/>
        <v>55486.368417029298</v>
      </c>
      <c r="T306" s="1">
        <v>242</v>
      </c>
      <c r="U306" s="1">
        <v>24</v>
      </c>
      <c r="V306" s="1">
        <v>9</v>
      </c>
      <c r="W306" s="1">
        <v>6171</v>
      </c>
      <c r="X306" s="1">
        <v>0.90098136468850398</v>
      </c>
    </row>
    <row r="307" spans="1:24" x14ac:dyDescent="0.3">
      <c r="A307" s="2">
        <v>45303</v>
      </c>
      <c r="B307" s="1" t="s">
        <v>40</v>
      </c>
      <c r="C307" s="1" t="s">
        <v>41</v>
      </c>
      <c r="D307" s="1" t="s">
        <v>36</v>
      </c>
      <c r="E307" s="1" t="s">
        <v>20</v>
      </c>
      <c r="F307" s="1">
        <v>34</v>
      </c>
      <c r="G307" s="1" t="str" cm="1">
        <f t="array" ref="G307">_xlfn.IFS(F307&lt;=25,"YOUTH",F307&lt;=48,"ADULT",TRUE,"SENIOR")</f>
        <v>ADULT</v>
      </c>
      <c r="H307" s="1" t="s">
        <v>29</v>
      </c>
      <c r="I307" s="1" t="s">
        <v>33</v>
      </c>
      <c r="J307" s="1" t="s">
        <v>23</v>
      </c>
      <c r="K307" s="1" t="s">
        <v>39</v>
      </c>
      <c r="L307" s="1">
        <v>38134</v>
      </c>
      <c r="M307" s="3">
        <f t="shared" si="12"/>
        <v>4.2167094980856981E-2</v>
      </c>
      <c r="N307" s="1">
        <v>1608</v>
      </c>
      <c r="O307" s="4">
        <f t="shared" si="13"/>
        <v>5.506849315068493</v>
      </c>
      <c r="P307" s="1">
        <v>292</v>
      </c>
      <c r="Q307" s="1">
        <v>3406.9425030536599</v>
      </c>
      <c r="R307" s="1">
        <v>6584.6388099354099</v>
      </c>
      <c r="S307" s="5">
        <f t="shared" si="14"/>
        <v>6583.6388099354099</v>
      </c>
      <c r="T307" s="1">
        <v>1019</v>
      </c>
      <c r="U307" s="1">
        <v>80</v>
      </c>
      <c r="V307" s="1">
        <v>41</v>
      </c>
      <c r="W307" s="1">
        <v>7467</v>
      </c>
      <c r="X307" s="1">
        <v>0.59083294910351003</v>
      </c>
    </row>
    <row r="308" spans="1:24" x14ac:dyDescent="0.3">
      <c r="A308" s="2">
        <v>45338</v>
      </c>
      <c r="B308" s="1" t="s">
        <v>40</v>
      </c>
      <c r="C308" s="1" t="s">
        <v>26</v>
      </c>
      <c r="D308" s="1" t="s">
        <v>19</v>
      </c>
      <c r="E308" s="1" t="s">
        <v>20</v>
      </c>
      <c r="F308" s="1">
        <v>45</v>
      </c>
      <c r="G308" s="1" t="str" cm="1">
        <f t="array" ref="G308">_xlfn.IFS(F308&lt;=25,"YOUTH",F308&lt;=48,"ADULT",TRUE,"SENIOR")</f>
        <v>ADULT</v>
      </c>
      <c r="H308" s="1" t="s">
        <v>21</v>
      </c>
      <c r="I308" s="1" t="s">
        <v>43</v>
      </c>
      <c r="J308" s="1" t="s">
        <v>38</v>
      </c>
      <c r="K308" s="1" t="s">
        <v>39</v>
      </c>
      <c r="L308" s="1">
        <v>2506</v>
      </c>
      <c r="M308" s="3">
        <f t="shared" si="12"/>
        <v>0.1149241819632881</v>
      </c>
      <c r="N308" s="1">
        <v>288</v>
      </c>
      <c r="O308" s="4">
        <f t="shared" si="13"/>
        <v>10.285714285714286</v>
      </c>
      <c r="P308" s="1">
        <v>28</v>
      </c>
      <c r="Q308" s="1">
        <v>217.70249240000001</v>
      </c>
      <c r="R308" s="1">
        <v>1355.64487507747</v>
      </c>
      <c r="S308" s="5">
        <f t="shared" si="14"/>
        <v>1354.64487507747</v>
      </c>
      <c r="T308" s="1">
        <v>24</v>
      </c>
      <c r="U308" s="1">
        <v>1</v>
      </c>
      <c r="V308" s="1">
        <v>1</v>
      </c>
      <c r="W308" s="1">
        <v>420</v>
      </c>
      <c r="X308" s="1">
        <v>0.456133981825804</v>
      </c>
    </row>
    <row r="309" spans="1:24" x14ac:dyDescent="0.3">
      <c r="A309" s="2">
        <v>45304</v>
      </c>
      <c r="B309" s="1" t="s">
        <v>40</v>
      </c>
      <c r="C309" s="1" t="s">
        <v>26</v>
      </c>
      <c r="D309" s="1" t="s">
        <v>36</v>
      </c>
      <c r="E309" s="1" t="s">
        <v>20</v>
      </c>
      <c r="F309" s="1">
        <v>47</v>
      </c>
      <c r="G309" s="1" t="str" cm="1">
        <f t="array" ref="G309">_xlfn.IFS(F309&lt;=25,"YOUTH",F309&lt;=48,"ADULT",TRUE,"SENIOR")</f>
        <v>ADULT</v>
      </c>
      <c r="H309" s="1" t="s">
        <v>42</v>
      </c>
      <c r="I309" s="1" t="s">
        <v>37</v>
      </c>
      <c r="J309" s="1" t="s">
        <v>38</v>
      </c>
      <c r="K309" s="1" t="s">
        <v>31</v>
      </c>
      <c r="L309" s="1">
        <v>16222</v>
      </c>
      <c r="M309" s="3">
        <f t="shared" si="12"/>
        <v>9.8261620022192089E-2</v>
      </c>
      <c r="N309" s="1">
        <v>1594</v>
      </c>
      <c r="O309" s="4">
        <f t="shared" si="13"/>
        <v>22.138888888888889</v>
      </c>
      <c r="P309" s="1">
        <v>72</v>
      </c>
      <c r="Q309" s="1">
        <v>865.930960537283</v>
      </c>
      <c r="R309" s="1">
        <v>4133.742714</v>
      </c>
      <c r="S309" s="5">
        <f t="shared" si="14"/>
        <v>4132.742714</v>
      </c>
      <c r="T309" s="1">
        <v>98</v>
      </c>
      <c r="U309" s="1">
        <v>15</v>
      </c>
      <c r="V309" s="1">
        <v>2</v>
      </c>
      <c r="W309" s="1">
        <v>2193</v>
      </c>
      <c r="X309" s="1">
        <v>0.52807519438496198</v>
      </c>
    </row>
    <row r="310" spans="1:24" x14ac:dyDescent="0.3">
      <c r="A310" s="2">
        <v>45341</v>
      </c>
      <c r="B310" s="1" t="s">
        <v>17</v>
      </c>
      <c r="C310" s="1" t="s">
        <v>41</v>
      </c>
      <c r="D310" s="1" t="s">
        <v>19</v>
      </c>
      <c r="E310" s="1" t="s">
        <v>28</v>
      </c>
      <c r="F310" s="1">
        <v>46</v>
      </c>
      <c r="G310" s="1" t="str" cm="1">
        <f t="array" ref="G310">_xlfn.IFS(F310&lt;=25,"YOUTH",F310&lt;=48,"ADULT",TRUE,"SENIOR")</f>
        <v>ADULT</v>
      </c>
      <c r="H310" s="1" t="s">
        <v>21</v>
      </c>
      <c r="I310" s="1" t="s">
        <v>22</v>
      </c>
      <c r="J310" s="1" t="s">
        <v>23</v>
      </c>
      <c r="K310" s="1" t="s">
        <v>39</v>
      </c>
      <c r="L310" s="1">
        <v>13363</v>
      </c>
      <c r="M310" s="3">
        <f t="shared" si="12"/>
        <v>0.11486941555040035</v>
      </c>
      <c r="N310" s="1">
        <v>1535</v>
      </c>
      <c r="O310" s="4">
        <f t="shared" si="13"/>
        <v>11.89922480620155</v>
      </c>
      <c r="P310" s="1">
        <v>129</v>
      </c>
      <c r="Q310" s="1">
        <v>327.85371846749302</v>
      </c>
      <c r="R310" s="1">
        <v>2021.37880458723</v>
      </c>
      <c r="S310" s="5">
        <f t="shared" si="14"/>
        <v>2020.37880458723</v>
      </c>
      <c r="T310" s="1">
        <v>120</v>
      </c>
      <c r="U310" s="1">
        <v>17</v>
      </c>
      <c r="V310" s="1">
        <v>9</v>
      </c>
      <c r="W310" s="1">
        <v>2002</v>
      </c>
      <c r="X310" s="1">
        <v>0.709254860268965</v>
      </c>
    </row>
    <row r="311" spans="1:24" x14ac:dyDescent="0.3">
      <c r="A311" s="2">
        <v>45338</v>
      </c>
      <c r="B311" s="1" t="s">
        <v>25</v>
      </c>
      <c r="C311" s="1" t="s">
        <v>41</v>
      </c>
      <c r="D311" s="1" t="s">
        <v>36</v>
      </c>
      <c r="E311" s="1" t="s">
        <v>28</v>
      </c>
      <c r="F311" s="1">
        <v>23</v>
      </c>
      <c r="G311" s="1" t="str" cm="1">
        <f t="array" ref="G311">_xlfn.IFS(F311&lt;=25,"YOUTH",F311&lt;=48,"ADULT",TRUE,"SENIOR")</f>
        <v>YOUTH</v>
      </c>
      <c r="H311" s="1" t="s">
        <v>21</v>
      </c>
      <c r="I311" s="1" t="s">
        <v>37</v>
      </c>
      <c r="J311" s="1" t="s">
        <v>38</v>
      </c>
      <c r="K311" s="1" t="s">
        <v>31</v>
      </c>
      <c r="L311" s="1">
        <v>20613</v>
      </c>
      <c r="M311" s="3">
        <f t="shared" si="12"/>
        <v>7.121719303352253E-2</v>
      </c>
      <c r="N311" s="1">
        <v>1468</v>
      </c>
      <c r="O311" s="4">
        <f t="shared" si="13"/>
        <v>5.0795847750865049</v>
      </c>
      <c r="P311" s="1">
        <v>289</v>
      </c>
      <c r="Q311" s="1">
        <v>1511.6541072961099</v>
      </c>
      <c r="R311" s="1">
        <v>9757.5406067695603</v>
      </c>
      <c r="S311" s="5">
        <f t="shared" si="14"/>
        <v>9756.5406067695603</v>
      </c>
      <c r="T311" s="1">
        <v>301</v>
      </c>
      <c r="U311" s="1">
        <v>24</v>
      </c>
      <c r="V311" s="1">
        <v>11</v>
      </c>
      <c r="W311" s="1">
        <v>3873</v>
      </c>
      <c r="X311" s="1">
        <v>0.91846285870834699</v>
      </c>
    </row>
    <row r="312" spans="1:24" x14ac:dyDescent="0.3">
      <c r="A312" s="2">
        <v>45348</v>
      </c>
      <c r="B312" s="1" t="s">
        <v>40</v>
      </c>
      <c r="C312" s="1" t="s">
        <v>18</v>
      </c>
      <c r="D312" s="1" t="s">
        <v>27</v>
      </c>
      <c r="E312" s="1" t="s">
        <v>20</v>
      </c>
      <c r="F312" s="1">
        <v>52</v>
      </c>
      <c r="G312" s="1" t="str" cm="1">
        <f t="array" ref="G312">_xlfn.IFS(F312&lt;=25,"YOUTH",F312&lt;=48,"ADULT",TRUE,"SENIOR")</f>
        <v>SENIOR</v>
      </c>
      <c r="H312" s="1" t="s">
        <v>42</v>
      </c>
      <c r="I312" s="1" t="s">
        <v>33</v>
      </c>
      <c r="J312" s="1" t="s">
        <v>23</v>
      </c>
      <c r="K312" s="1" t="s">
        <v>39</v>
      </c>
      <c r="L312" s="1">
        <v>45563</v>
      </c>
      <c r="M312" s="3">
        <f t="shared" si="12"/>
        <v>0.14055264139762527</v>
      </c>
      <c r="N312" s="1">
        <v>6404</v>
      </c>
      <c r="O312" s="4">
        <f t="shared" si="13"/>
        <v>9.9286821705426362</v>
      </c>
      <c r="P312" s="1">
        <v>645</v>
      </c>
      <c r="Q312" s="1">
        <v>1542.4320491118699</v>
      </c>
      <c r="R312" s="1">
        <v>23929.0718118318</v>
      </c>
      <c r="S312" s="5">
        <f t="shared" si="14"/>
        <v>23928.0718118318</v>
      </c>
      <c r="T312" s="1">
        <v>477</v>
      </c>
      <c r="U312" s="1">
        <v>34</v>
      </c>
      <c r="V312" s="1">
        <v>44</v>
      </c>
      <c r="W312" s="1">
        <v>8764</v>
      </c>
      <c r="X312" s="1">
        <v>0.68175550143736396</v>
      </c>
    </row>
    <row r="313" spans="1:24" x14ac:dyDescent="0.3">
      <c r="A313" s="2">
        <v>45346</v>
      </c>
      <c r="B313" s="1" t="s">
        <v>25</v>
      </c>
      <c r="C313" s="1" t="s">
        <v>35</v>
      </c>
      <c r="D313" s="1" t="s">
        <v>27</v>
      </c>
      <c r="E313" s="1" t="s">
        <v>28</v>
      </c>
      <c r="F313" s="1">
        <v>58</v>
      </c>
      <c r="G313" s="1" t="str" cm="1">
        <f t="array" ref="G313">_xlfn.IFS(F313&lt;=25,"YOUTH",F313&lt;=48,"ADULT",TRUE,"SENIOR")</f>
        <v>SENIOR</v>
      </c>
      <c r="H313" s="1" t="s">
        <v>42</v>
      </c>
      <c r="I313" s="1" t="s">
        <v>43</v>
      </c>
      <c r="J313" s="1" t="s">
        <v>23</v>
      </c>
      <c r="K313" s="1" t="s">
        <v>31</v>
      </c>
      <c r="L313" s="1">
        <v>31628</v>
      </c>
      <c r="M313" s="3">
        <f t="shared" si="12"/>
        <v>9.8520298469710388E-2</v>
      </c>
      <c r="N313" s="1">
        <v>3116</v>
      </c>
      <c r="O313" s="4">
        <f t="shared" si="13"/>
        <v>4.8385093167701863</v>
      </c>
      <c r="P313" s="1">
        <v>644</v>
      </c>
      <c r="Q313" s="1">
        <v>4357.6612313752803</v>
      </c>
      <c r="R313" s="1">
        <v>16285.320819099101</v>
      </c>
      <c r="S313" s="5">
        <f t="shared" si="14"/>
        <v>16284.320819099101</v>
      </c>
      <c r="T313" s="1">
        <v>399</v>
      </c>
      <c r="U313" s="1">
        <v>27</v>
      </c>
      <c r="V313" s="1">
        <v>14</v>
      </c>
      <c r="W313" s="1">
        <v>6139</v>
      </c>
      <c r="X313" s="1">
        <v>0.46200550850818201</v>
      </c>
    </row>
    <row r="314" spans="1:24" x14ac:dyDescent="0.3">
      <c r="A314" s="2">
        <v>45302</v>
      </c>
      <c r="B314" s="1" t="s">
        <v>25</v>
      </c>
      <c r="C314" s="1" t="s">
        <v>35</v>
      </c>
      <c r="D314" s="1" t="s">
        <v>27</v>
      </c>
      <c r="E314" s="1" t="s">
        <v>20</v>
      </c>
      <c r="F314" s="1">
        <v>54</v>
      </c>
      <c r="G314" s="1" t="str" cm="1">
        <f t="array" ref="G314">_xlfn.IFS(F314&lt;=25,"YOUTH",F314&lt;=48,"ADULT",TRUE,"SENIOR")</f>
        <v>SENIOR</v>
      </c>
      <c r="H314" s="1" t="s">
        <v>21</v>
      </c>
      <c r="I314" s="1" t="s">
        <v>37</v>
      </c>
      <c r="J314" s="1" t="s">
        <v>23</v>
      </c>
      <c r="K314" s="1" t="s">
        <v>39</v>
      </c>
      <c r="L314" s="1">
        <v>43626</v>
      </c>
      <c r="M314" s="3">
        <f t="shared" si="12"/>
        <v>5.0359877137486818E-2</v>
      </c>
      <c r="N314" s="1">
        <v>2197</v>
      </c>
      <c r="O314" s="4">
        <f t="shared" si="13"/>
        <v>10.717073170731707</v>
      </c>
      <c r="P314" s="1">
        <v>205</v>
      </c>
      <c r="Q314" s="1">
        <v>1106.4662595310999</v>
      </c>
      <c r="R314" s="1">
        <v>7444.3964311386699</v>
      </c>
      <c r="S314" s="5">
        <f t="shared" si="14"/>
        <v>7443.3964311386699</v>
      </c>
      <c r="T314" s="1">
        <v>1281</v>
      </c>
      <c r="U314" s="1">
        <v>184</v>
      </c>
      <c r="V314" s="1">
        <v>51</v>
      </c>
      <c r="W314" s="1">
        <v>5622</v>
      </c>
      <c r="X314" s="1">
        <v>0.74528074554398505</v>
      </c>
    </row>
    <row r="315" spans="1:24" x14ac:dyDescent="0.3">
      <c r="A315" s="2">
        <v>45310</v>
      </c>
      <c r="B315" s="1" t="s">
        <v>34</v>
      </c>
      <c r="C315" s="1" t="s">
        <v>41</v>
      </c>
      <c r="D315" s="1" t="s">
        <v>27</v>
      </c>
      <c r="E315" s="1" t="s">
        <v>20</v>
      </c>
      <c r="F315" s="1">
        <v>41</v>
      </c>
      <c r="G315" s="1" t="str" cm="1">
        <f t="array" ref="G315">_xlfn.IFS(F315&lt;=25,"YOUTH",F315&lt;=48,"ADULT",TRUE,"SENIOR")</f>
        <v>ADULT</v>
      </c>
      <c r="H315" s="1" t="s">
        <v>29</v>
      </c>
      <c r="I315" s="1" t="s">
        <v>37</v>
      </c>
      <c r="J315" s="1" t="s">
        <v>23</v>
      </c>
      <c r="K315" s="1" t="s">
        <v>24</v>
      </c>
      <c r="L315" s="1">
        <v>46384</v>
      </c>
      <c r="M315" s="3">
        <f t="shared" si="12"/>
        <v>9.9366160745084517E-2</v>
      </c>
      <c r="N315" s="1">
        <v>4609</v>
      </c>
      <c r="O315" s="4">
        <f t="shared" si="13"/>
        <v>17.392452830188681</v>
      </c>
      <c r="P315" s="1">
        <v>265</v>
      </c>
      <c r="Q315" s="1">
        <v>3530.50011866348</v>
      </c>
      <c r="R315" s="1">
        <v>6794.72395311319</v>
      </c>
      <c r="S315" s="5">
        <f t="shared" si="14"/>
        <v>6793.72395311319</v>
      </c>
      <c r="T315" s="1">
        <v>1048</v>
      </c>
      <c r="U315" s="1">
        <v>52</v>
      </c>
      <c r="V315" s="1">
        <v>45</v>
      </c>
      <c r="W315" s="1">
        <v>3854</v>
      </c>
      <c r="X315" s="1">
        <v>0.80306471523336698</v>
      </c>
    </row>
    <row r="316" spans="1:24" x14ac:dyDescent="0.3">
      <c r="A316" s="2">
        <v>45326</v>
      </c>
      <c r="B316" s="1" t="s">
        <v>17</v>
      </c>
      <c r="C316" s="1" t="s">
        <v>41</v>
      </c>
      <c r="D316" s="1" t="s">
        <v>32</v>
      </c>
      <c r="E316" s="1" t="s">
        <v>20</v>
      </c>
      <c r="F316" s="1">
        <v>46</v>
      </c>
      <c r="G316" s="1" t="str" cm="1">
        <f t="array" ref="G316">_xlfn.IFS(F316&lt;=25,"YOUTH",F316&lt;=48,"ADULT",TRUE,"SENIOR")</f>
        <v>ADULT</v>
      </c>
      <c r="H316" s="1" t="s">
        <v>29</v>
      </c>
      <c r="I316" s="1" t="s">
        <v>37</v>
      </c>
      <c r="J316" s="1" t="s">
        <v>23</v>
      </c>
      <c r="K316" s="1" t="s">
        <v>24</v>
      </c>
      <c r="L316" s="1">
        <v>5136</v>
      </c>
      <c r="M316" s="3">
        <f t="shared" si="12"/>
        <v>5.0038940809968846E-2</v>
      </c>
      <c r="N316" s="1">
        <v>257</v>
      </c>
      <c r="O316" s="4">
        <f t="shared" si="13"/>
        <v>8.5666666666666664</v>
      </c>
      <c r="P316" s="1">
        <v>30</v>
      </c>
      <c r="Q316" s="1">
        <v>137.603331325368</v>
      </c>
      <c r="R316" s="1">
        <v>853.45810289999997</v>
      </c>
      <c r="S316" s="5">
        <f t="shared" si="14"/>
        <v>852.45810289999997</v>
      </c>
      <c r="T316" s="1">
        <v>117</v>
      </c>
      <c r="U316" s="1">
        <v>6</v>
      </c>
      <c r="V316" s="1">
        <v>9</v>
      </c>
      <c r="W316" s="1">
        <v>181</v>
      </c>
      <c r="X316" s="1">
        <v>0.61630601849603495</v>
      </c>
    </row>
    <row r="317" spans="1:24" x14ac:dyDescent="0.3">
      <c r="A317" s="2">
        <v>45330</v>
      </c>
      <c r="B317" s="1" t="s">
        <v>17</v>
      </c>
      <c r="C317" s="1" t="s">
        <v>26</v>
      </c>
      <c r="D317" s="1" t="s">
        <v>32</v>
      </c>
      <c r="E317" s="1" t="s">
        <v>28</v>
      </c>
      <c r="F317" s="1">
        <v>48</v>
      </c>
      <c r="G317" s="1" t="str" cm="1">
        <f t="array" ref="G317">_xlfn.IFS(F317&lt;=25,"YOUTH",F317&lt;=48,"ADULT",TRUE,"SENIOR")</f>
        <v>ADULT</v>
      </c>
      <c r="H317" s="1" t="s">
        <v>21</v>
      </c>
      <c r="I317" s="1" t="s">
        <v>33</v>
      </c>
      <c r="J317" s="1" t="s">
        <v>23</v>
      </c>
      <c r="K317" s="1" t="s">
        <v>24</v>
      </c>
      <c r="L317" s="1">
        <v>47246</v>
      </c>
      <c r="M317" s="3">
        <f t="shared" si="12"/>
        <v>5.1094272531007914E-2</v>
      </c>
      <c r="N317" s="1">
        <v>2414</v>
      </c>
      <c r="O317" s="4">
        <f t="shared" si="13"/>
        <v>8.0735785953177253</v>
      </c>
      <c r="P317" s="1">
        <v>299</v>
      </c>
      <c r="Q317" s="1">
        <v>1531.7485666993</v>
      </c>
      <c r="R317" s="1">
        <v>14503.4514580877</v>
      </c>
      <c r="S317" s="5">
        <f t="shared" si="14"/>
        <v>14502.4514580877</v>
      </c>
      <c r="T317" s="1">
        <v>348</v>
      </c>
      <c r="U317" s="1">
        <v>37</v>
      </c>
      <c r="V317" s="1">
        <v>18</v>
      </c>
      <c r="W317" s="1">
        <v>3933</v>
      </c>
      <c r="X317" s="1">
        <v>0.79683273499999996</v>
      </c>
    </row>
    <row r="318" spans="1:24" x14ac:dyDescent="0.3">
      <c r="A318" s="2">
        <v>45344</v>
      </c>
      <c r="B318" s="1" t="s">
        <v>34</v>
      </c>
      <c r="C318" s="1" t="s">
        <v>41</v>
      </c>
      <c r="D318" s="1" t="s">
        <v>36</v>
      </c>
      <c r="E318" s="1" t="s">
        <v>20</v>
      </c>
      <c r="F318" s="1">
        <v>52</v>
      </c>
      <c r="G318" s="1" t="str" cm="1">
        <f t="array" ref="G318">_xlfn.IFS(F318&lt;=25,"YOUTH",F318&lt;=48,"ADULT",TRUE,"SENIOR")</f>
        <v>SENIOR</v>
      </c>
      <c r="H318" s="1" t="s">
        <v>29</v>
      </c>
      <c r="I318" s="1" t="s">
        <v>37</v>
      </c>
      <c r="J318" s="1" t="s">
        <v>23</v>
      </c>
      <c r="K318" s="1" t="s">
        <v>39</v>
      </c>
      <c r="L318" s="1">
        <v>12161</v>
      </c>
      <c r="M318" s="3">
        <f t="shared" si="12"/>
        <v>6.5866293890305072E-2</v>
      </c>
      <c r="N318" s="1">
        <v>801</v>
      </c>
      <c r="O318" s="4">
        <f t="shared" si="13"/>
        <v>44.5</v>
      </c>
      <c r="P318" s="1">
        <v>18</v>
      </c>
      <c r="Q318" s="1">
        <v>1284.84207973703</v>
      </c>
      <c r="R318" s="1">
        <v>830.13412391684597</v>
      </c>
      <c r="S318" s="5">
        <f t="shared" si="14"/>
        <v>829.13412391684597</v>
      </c>
      <c r="T318" s="1">
        <v>283</v>
      </c>
      <c r="U318" s="1">
        <v>43</v>
      </c>
      <c r="V318" s="1">
        <v>24</v>
      </c>
      <c r="W318" s="1">
        <v>2300</v>
      </c>
      <c r="X318" s="1">
        <v>0.57865254832655399</v>
      </c>
    </row>
    <row r="319" spans="1:24" x14ac:dyDescent="0.3">
      <c r="A319" s="2">
        <v>45317</v>
      </c>
      <c r="B319" s="1" t="s">
        <v>34</v>
      </c>
      <c r="C319" s="1" t="s">
        <v>26</v>
      </c>
      <c r="D319" s="1" t="s">
        <v>36</v>
      </c>
      <c r="E319" s="1" t="s">
        <v>28</v>
      </c>
      <c r="F319" s="1">
        <v>50</v>
      </c>
      <c r="G319" s="1" t="str" cm="1">
        <f t="array" ref="G319">_xlfn.IFS(F319&lt;=25,"YOUTH",F319&lt;=48,"ADULT",TRUE,"SENIOR")</f>
        <v>SENIOR</v>
      </c>
      <c r="H319" s="1" t="s">
        <v>21</v>
      </c>
      <c r="I319" s="1" t="s">
        <v>33</v>
      </c>
      <c r="J319" s="1" t="s">
        <v>23</v>
      </c>
      <c r="K319" s="1" t="s">
        <v>39</v>
      </c>
      <c r="L319" s="1">
        <v>36457</v>
      </c>
      <c r="M319" s="3">
        <f t="shared" si="12"/>
        <v>0.12933044408481226</v>
      </c>
      <c r="N319" s="1">
        <v>4715</v>
      </c>
      <c r="O319" s="4">
        <f t="shared" si="13"/>
        <v>21.334841628959275</v>
      </c>
      <c r="P319" s="1">
        <v>221</v>
      </c>
      <c r="Q319" s="1">
        <v>3796.0655813732301</v>
      </c>
      <c r="R319" s="1">
        <v>4441.4971509999996</v>
      </c>
      <c r="S319" s="5">
        <f t="shared" si="14"/>
        <v>4440.4971509999996</v>
      </c>
      <c r="T319" s="1">
        <v>856</v>
      </c>
      <c r="U319" s="1">
        <v>132</v>
      </c>
      <c r="V319" s="1">
        <v>70</v>
      </c>
      <c r="W319" s="1">
        <v>6528</v>
      </c>
      <c r="X319" s="1">
        <v>0.83399958337802704</v>
      </c>
    </row>
    <row r="320" spans="1:24" x14ac:dyDescent="0.3">
      <c r="A320" s="2">
        <v>45337</v>
      </c>
      <c r="B320" s="1" t="s">
        <v>25</v>
      </c>
      <c r="C320" s="1" t="s">
        <v>41</v>
      </c>
      <c r="D320" s="1" t="s">
        <v>27</v>
      </c>
      <c r="E320" s="1" t="s">
        <v>28</v>
      </c>
      <c r="F320" s="1">
        <v>38</v>
      </c>
      <c r="G320" s="1" t="str" cm="1">
        <f t="array" ref="G320">_xlfn.IFS(F320&lt;=25,"YOUTH",F320&lt;=48,"ADULT",TRUE,"SENIOR")</f>
        <v>ADULT</v>
      </c>
      <c r="H320" s="1" t="s">
        <v>29</v>
      </c>
      <c r="I320" s="1" t="s">
        <v>33</v>
      </c>
      <c r="J320" s="1" t="s">
        <v>23</v>
      </c>
      <c r="K320" s="1" t="s">
        <v>39</v>
      </c>
      <c r="L320" s="1">
        <v>24574</v>
      </c>
      <c r="M320" s="3">
        <f t="shared" si="12"/>
        <v>8.0003255473264423E-2</v>
      </c>
      <c r="N320" s="1">
        <v>1966</v>
      </c>
      <c r="O320" s="4">
        <f t="shared" si="13"/>
        <v>16.114754098360656</v>
      </c>
      <c r="P320" s="1">
        <v>122</v>
      </c>
      <c r="Q320" s="1">
        <v>597.06920280575503</v>
      </c>
      <c r="R320" s="1">
        <v>7727.0392764277103</v>
      </c>
      <c r="S320" s="5">
        <f t="shared" si="14"/>
        <v>7726.0392764277103</v>
      </c>
      <c r="T320" s="1">
        <v>528</v>
      </c>
      <c r="U320" s="1">
        <v>60</v>
      </c>
      <c r="V320" s="1">
        <v>49</v>
      </c>
      <c r="W320" s="1">
        <v>2690</v>
      </c>
      <c r="X320" s="1">
        <v>0.58758968776353704</v>
      </c>
    </row>
    <row r="321" spans="1:24" x14ac:dyDescent="0.3">
      <c r="A321" s="2">
        <v>45305</v>
      </c>
      <c r="B321" s="1" t="s">
        <v>40</v>
      </c>
      <c r="C321" s="1" t="s">
        <v>18</v>
      </c>
      <c r="D321" s="1" t="s">
        <v>19</v>
      </c>
      <c r="E321" s="1" t="s">
        <v>20</v>
      </c>
      <c r="F321" s="1">
        <v>49</v>
      </c>
      <c r="G321" s="1" t="str" cm="1">
        <f t="array" ref="G321">_xlfn.IFS(F321&lt;=25,"YOUTH",F321&lt;=48,"ADULT",TRUE,"SENIOR")</f>
        <v>SENIOR</v>
      </c>
      <c r="H321" s="1" t="s">
        <v>29</v>
      </c>
      <c r="I321" s="1" t="s">
        <v>33</v>
      </c>
      <c r="J321" s="1" t="s">
        <v>38</v>
      </c>
      <c r="K321" s="1" t="s">
        <v>24</v>
      </c>
      <c r="L321" s="1">
        <v>27902</v>
      </c>
      <c r="M321" s="3">
        <f t="shared" si="12"/>
        <v>0.10501039352017777</v>
      </c>
      <c r="N321" s="1">
        <v>2930</v>
      </c>
      <c r="O321" s="4">
        <f t="shared" si="13"/>
        <v>21.703703703703702</v>
      </c>
      <c r="P321" s="1">
        <v>135</v>
      </c>
      <c r="Q321" s="1">
        <v>562.14415444692702</v>
      </c>
      <c r="R321" s="1">
        <v>8245.9694882664498</v>
      </c>
      <c r="S321" s="5">
        <f t="shared" si="14"/>
        <v>8244.9694882664498</v>
      </c>
      <c r="T321" s="1">
        <v>298</v>
      </c>
      <c r="U321" s="1">
        <v>45</v>
      </c>
      <c r="V321" s="1">
        <v>23</v>
      </c>
      <c r="W321" s="1">
        <v>3125</v>
      </c>
      <c r="X321" s="1">
        <v>0.54085890038034401</v>
      </c>
    </row>
    <row r="322" spans="1:24" x14ac:dyDescent="0.3">
      <c r="A322" s="2">
        <v>45345</v>
      </c>
      <c r="B322" s="1" t="s">
        <v>17</v>
      </c>
      <c r="C322" s="1" t="s">
        <v>18</v>
      </c>
      <c r="D322" s="1" t="s">
        <v>27</v>
      </c>
      <c r="E322" s="1" t="s">
        <v>28</v>
      </c>
      <c r="F322" s="1">
        <v>40</v>
      </c>
      <c r="G322" s="1" t="str" cm="1">
        <f t="array" ref="G322">_xlfn.IFS(F322&lt;=25,"YOUTH",F322&lt;=48,"ADULT",TRUE,"SENIOR")</f>
        <v>ADULT</v>
      </c>
      <c r="H322" s="1" t="s">
        <v>29</v>
      </c>
      <c r="I322" s="1" t="s">
        <v>43</v>
      </c>
      <c r="J322" s="1" t="s">
        <v>38</v>
      </c>
      <c r="K322" s="1" t="s">
        <v>31</v>
      </c>
      <c r="L322" s="1">
        <v>3810</v>
      </c>
      <c r="M322" s="3">
        <f t="shared" si="12"/>
        <v>6.4829396325459324E-2</v>
      </c>
      <c r="N322" s="1">
        <v>247</v>
      </c>
      <c r="O322" s="4">
        <f t="shared" si="13"/>
        <v>10.291666666666666</v>
      </c>
      <c r="P322" s="1">
        <v>24</v>
      </c>
      <c r="Q322" s="1">
        <v>115.23859365835</v>
      </c>
      <c r="R322" s="1">
        <v>914.16995843632401</v>
      </c>
      <c r="S322" s="5">
        <f t="shared" si="14"/>
        <v>913.16995843632401</v>
      </c>
      <c r="T322" s="1">
        <v>59</v>
      </c>
      <c r="U322" s="1">
        <v>7</v>
      </c>
      <c r="V322" s="1">
        <v>1</v>
      </c>
      <c r="W322" s="1">
        <v>261</v>
      </c>
      <c r="X322" s="1">
        <v>0.88354977324036599</v>
      </c>
    </row>
    <row r="323" spans="1:24" x14ac:dyDescent="0.3">
      <c r="A323" s="2">
        <v>45336</v>
      </c>
      <c r="B323" s="1" t="s">
        <v>40</v>
      </c>
      <c r="C323" s="1" t="s">
        <v>26</v>
      </c>
      <c r="D323" s="1" t="s">
        <v>36</v>
      </c>
      <c r="E323" s="1" t="s">
        <v>28</v>
      </c>
      <c r="F323" s="1">
        <v>50</v>
      </c>
      <c r="G323" s="1" t="str" cm="1">
        <f t="array" ref="G323">_xlfn.IFS(F323&lt;=25,"YOUTH",F323&lt;=48,"ADULT",TRUE,"SENIOR")</f>
        <v>SENIOR</v>
      </c>
      <c r="H323" s="1" t="s">
        <v>29</v>
      </c>
      <c r="I323" s="1" t="s">
        <v>43</v>
      </c>
      <c r="J323" s="1" t="s">
        <v>23</v>
      </c>
      <c r="K323" s="1" t="s">
        <v>24</v>
      </c>
      <c r="L323" s="1">
        <v>12663</v>
      </c>
      <c r="M323" s="3">
        <f t="shared" ref="M323:M386" si="15">(N323/L323)</f>
        <v>4.682934533680802E-2</v>
      </c>
      <c r="N323" s="1">
        <v>593</v>
      </c>
      <c r="O323" s="4">
        <f t="shared" ref="O323:O386" si="16">(N323/P323)</f>
        <v>4.1468531468531467</v>
      </c>
      <c r="P323" s="1">
        <v>143</v>
      </c>
      <c r="Q323" s="1">
        <v>1509.3011554244199</v>
      </c>
      <c r="R323" s="1">
        <v>4742.06565335699</v>
      </c>
      <c r="S323" s="5">
        <f t="shared" ref="S323:S386" si="17">(R323-Q323/Q323)</f>
        <v>4741.06565335699</v>
      </c>
      <c r="T323" s="1">
        <v>331</v>
      </c>
      <c r="U323" s="1">
        <v>65</v>
      </c>
      <c r="V323" s="1">
        <v>28</v>
      </c>
      <c r="W323" s="1">
        <v>1220</v>
      </c>
      <c r="X323" s="1">
        <v>0.70166038164646705</v>
      </c>
    </row>
    <row r="324" spans="1:24" x14ac:dyDescent="0.3">
      <c r="A324" s="2">
        <v>45335</v>
      </c>
      <c r="B324" s="1" t="s">
        <v>40</v>
      </c>
      <c r="C324" s="1" t="s">
        <v>35</v>
      </c>
      <c r="D324" s="1" t="s">
        <v>27</v>
      </c>
      <c r="E324" s="1" t="s">
        <v>20</v>
      </c>
      <c r="F324" s="1">
        <v>20</v>
      </c>
      <c r="G324" s="1" t="str" cm="1">
        <f t="array" ref="G324">_xlfn.IFS(F324&lt;=25,"YOUTH",F324&lt;=48,"ADULT",TRUE,"SENIOR")</f>
        <v>YOUTH</v>
      </c>
      <c r="H324" s="1" t="s">
        <v>42</v>
      </c>
      <c r="I324" s="1" t="s">
        <v>37</v>
      </c>
      <c r="J324" s="1" t="s">
        <v>23</v>
      </c>
      <c r="K324" s="1" t="s">
        <v>24</v>
      </c>
      <c r="L324" s="1">
        <v>7152</v>
      </c>
      <c r="M324" s="3">
        <f t="shared" si="15"/>
        <v>0.14359619686800895</v>
      </c>
      <c r="N324" s="1">
        <v>1027</v>
      </c>
      <c r="O324" s="4">
        <f t="shared" si="16"/>
        <v>7.3357142857142854</v>
      </c>
      <c r="P324" s="1">
        <v>140</v>
      </c>
      <c r="Q324" s="1">
        <v>686.55582130544099</v>
      </c>
      <c r="R324" s="1">
        <v>4129.3894449999998</v>
      </c>
      <c r="S324" s="5">
        <f t="shared" si="17"/>
        <v>4128.3894449999998</v>
      </c>
      <c r="T324" s="1">
        <v>155</v>
      </c>
      <c r="U324" s="1">
        <v>11</v>
      </c>
      <c r="V324" s="1">
        <v>14</v>
      </c>
      <c r="W324" s="1">
        <v>1042</v>
      </c>
      <c r="X324" s="1">
        <v>0.55683595880792602</v>
      </c>
    </row>
    <row r="325" spans="1:24" x14ac:dyDescent="0.3">
      <c r="A325" s="2">
        <v>45315</v>
      </c>
      <c r="B325" s="1" t="s">
        <v>34</v>
      </c>
      <c r="C325" s="1" t="s">
        <v>18</v>
      </c>
      <c r="D325" s="1" t="s">
        <v>36</v>
      </c>
      <c r="E325" s="1" t="s">
        <v>28</v>
      </c>
      <c r="F325" s="1">
        <v>35</v>
      </c>
      <c r="G325" s="1" t="str" cm="1">
        <f t="array" ref="G325">_xlfn.IFS(F325&lt;=25,"YOUTH",F325&lt;=48,"ADULT",TRUE,"SENIOR")</f>
        <v>ADULT</v>
      </c>
      <c r="H325" s="1" t="s">
        <v>21</v>
      </c>
      <c r="I325" s="1" t="s">
        <v>37</v>
      </c>
      <c r="J325" s="1" t="s">
        <v>38</v>
      </c>
      <c r="K325" s="1" t="s">
        <v>39</v>
      </c>
      <c r="L325" s="1">
        <v>1012</v>
      </c>
      <c r="M325" s="3">
        <f t="shared" si="15"/>
        <v>9.3873517786561264E-2</v>
      </c>
      <c r="N325" s="1">
        <v>95</v>
      </c>
      <c r="O325" s="4">
        <f t="shared" si="16"/>
        <v>6.333333333333333</v>
      </c>
      <c r="P325" s="1">
        <v>15</v>
      </c>
      <c r="Q325" s="1">
        <v>25.254836336997901</v>
      </c>
      <c r="R325" s="1">
        <v>764.58622069977798</v>
      </c>
      <c r="S325" s="5">
        <f t="shared" si="17"/>
        <v>763.58622069977798</v>
      </c>
      <c r="T325" s="1">
        <v>23</v>
      </c>
      <c r="U325" s="1">
        <v>3</v>
      </c>
      <c r="V325" s="1">
        <v>2</v>
      </c>
      <c r="W325" s="1">
        <v>87</v>
      </c>
      <c r="X325" s="1">
        <v>0.91429778900000003</v>
      </c>
    </row>
    <row r="326" spans="1:24" x14ac:dyDescent="0.3">
      <c r="A326" s="2">
        <v>45332</v>
      </c>
      <c r="B326" s="1" t="s">
        <v>40</v>
      </c>
      <c r="C326" s="1" t="s">
        <v>26</v>
      </c>
      <c r="D326" s="1" t="s">
        <v>27</v>
      </c>
      <c r="E326" s="1" t="s">
        <v>28</v>
      </c>
      <c r="F326" s="1">
        <v>42</v>
      </c>
      <c r="G326" s="1" t="str" cm="1">
        <f t="array" ref="G326">_xlfn.IFS(F326&lt;=25,"YOUTH",F326&lt;=48,"ADULT",TRUE,"SENIOR")</f>
        <v>ADULT</v>
      </c>
      <c r="H326" s="1" t="s">
        <v>21</v>
      </c>
      <c r="I326" s="1" t="s">
        <v>43</v>
      </c>
      <c r="J326" s="1" t="s">
        <v>38</v>
      </c>
      <c r="K326" s="1" t="s">
        <v>31</v>
      </c>
      <c r="L326" s="1">
        <v>12162</v>
      </c>
      <c r="M326" s="3">
        <f t="shared" si="15"/>
        <v>0.14068409801019569</v>
      </c>
      <c r="N326" s="1">
        <v>1711</v>
      </c>
      <c r="O326" s="4">
        <f t="shared" si="16"/>
        <v>9.8333333333333339</v>
      </c>
      <c r="P326" s="1">
        <v>174</v>
      </c>
      <c r="Q326" s="1">
        <v>1014.95066791589</v>
      </c>
      <c r="R326" s="1">
        <v>8466.5431070391096</v>
      </c>
      <c r="S326" s="5">
        <f t="shared" si="17"/>
        <v>8465.5431070391096</v>
      </c>
      <c r="T326" s="1">
        <v>239</v>
      </c>
      <c r="U326" s="1">
        <v>29</v>
      </c>
      <c r="V326" s="1">
        <v>7</v>
      </c>
      <c r="W326" s="1">
        <v>556</v>
      </c>
      <c r="X326" s="1">
        <v>0.77996814650632695</v>
      </c>
    </row>
    <row r="327" spans="1:24" x14ac:dyDescent="0.3">
      <c r="A327" s="2">
        <v>45292</v>
      </c>
      <c r="B327" s="1" t="s">
        <v>25</v>
      </c>
      <c r="C327" s="1" t="s">
        <v>41</v>
      </c>
      <c r="D327" s="1" t="s">
        <v>19</v>
      </c>
      <c r="E327" s="1" t="s">
        <v>20</v>
      </c>
      <c r="F327" s="1">
        <v>59</v>
      </c>
      <c r="G327" s="1" t="str" cm="1">
        <f t="array" ref="G327">_xlfn.IFS(F327&lt;=25,"YOUTH",F327&lt;=48,"ADULT",TRUE,"SENIOR")</f>
        <v>SENIOR</v>
      </c>
      <c r="H327" s="1" t="s">
        <v>21</v>
      </c>
      <c r="I327" s="1" t="s">
        <v>22</v>
      </c>
      <c r="J327" s="1" t="s">
        <v>38</v>
      </c>
      <c r="K327" s="1" t="s">
        <v>31</v>
      </c>
      <c r="L327" s="1">
        <v>23322</v>
      </c>
      <c r="M327" s="3">
        <f t="shared" si="15"/>
        <v>3.8461538461538464E-2</v>
      </c>
      <c r="N327" s="1">
        <v>897</v>
      </c>
      <c r="O327" s="4">
        <f t="shared" si="16"/>
        <v>10.678571428571429</v>
      </c>
      <c r="P327" s="1">
        <v>84</v>
      </c>
      <c r="Q327" s="1">
        <v>2625.2133264791</v>
      </c>
      <c r="R327" s="1">
        <v>1491.14611388136</v>
      </c>
      <c r="S327" s="5">
        <f t="shared" si="17"/>
        <v>1490.14611388136</v>
      </c>
      <c r="T327" s="1">
        <v>378</v>
      </c>
      <c r="U327" s="1">
        <v>29</v>
      </c>
      <c r="V327" s="1">
        <v>26</v>
      </c>
      <c r="W327" s="1">
        <v>2629</v>
      </c>
      <c r="X327" s="1">
        <v>0.52138521999999998</v>
      </c>
    </row>
    <row r="328" spans="1:24" x14ac:dyDescent="0.3">
      <c r="A328" s="2">
        <v>45342</v>
      </c>
      <c r="B328" s="1" t="s">
        <v>34</v>
      </c>
      <c r="C328" s="1" t="s">
        <v>41</v>
      </c>
      <c r="D328" s="1" t="s">
        <v>27</v>
      </c>
      <c r="E328" s="1" t="s">
        <v>20</v>
      </c>
      <c r="F328" s="1">
        <v>48</v>
      </c>
      <c r="G328" s="1" t="str" cm="1">
        <f t="array" ref="G328">_xlfn.IFS(F328&lt;=25,"YOUTH",F328&lt;=48,"ADULT",TRUE,"SENIOR")</f>
        <v>ADULT</v>
      </c>
      <c r="H328" s="1" t="s">
        <v>29</v>
      </c>
      <c r="I328" s="1" t="s">
        <v>43</v>
      </c>
      <c r="J328" s="1" t="s">
        <v>23</v>
      </c>
      <c r="K328" s="1" t="s">
        <v>24</v>
      </c>
      <c r="L328" s="1">
        <v>8999</v>
      </c>
      <c r="M328" s="3">
        <f t="shared" si="15"/>
        <v>3.055895099455495E-2</v>
      </c>
      <c r="N328" s="1">
        <v>275</v>
      </c>
      <c r="O328" s="4">
        <f t="shared" si="16"/>
        <v>45.833333333333336</v>
      </c>
      <c r="P328" s="1">
        <v>6</v>
      </c>
      <c r="Q328" s="1">
        <v>1196.54016800164</v>
      </c>
      <c r="R328" s="1">
        <v>291.86863220714002</v>
      </c>
      <c r="S328" s="5">
        <f t="shared" si="17"/>
        <v>290.86863220714002</v>
      </c>
      <c r="T328" s="1">
        <v>215</v>
      </c>
      <c r="U328" s="1">
        <v>34</v>
      </c>
      <c r="V328" s="1">
        <v>7</v>
      </c>
      <c r="W328" s="1">
        <v>475</v>
      </c>
      <c r="X328" s="1">
        <v>0.73805329502602901</v>
      </c>
    </row>
    <row r="329" spans="1:24" x14ac:dyDescent="0.3">
      <c r="A329" s="2">
        <v>45334</v>
      </c>
      <c r="B329" s="1" t="s">
        <v>40</v>
      </c>
      <c r="C329" s="1" t="s">
        <v>26</v>
      </c>
      <c r="D329" s="1" t="s">
        <v>19</v>
      </c>
      <c r="E329" s="1" t="s">
        <v>28</v>
      </c>
      <c r="F329" s="1">
        <v>20</v>
      </c>
      <c r="G329" s="1" t="str" cm="1">
        <f t="array" ref="G329">_xlfn.IFS(F329&lt;=25,"YOUTH",F329&lt;=48,"ADULT",TRUE,"SENIOR")</f>
        <v>YOUTH</v>
      </c>
      <c r="H329" s="1" t="s">
        <v>21</v>
      </c>
      <c r="I329" s="1" t="s">
        <v>33</v>
      </c>
      <c r="J329" s="1" t="s">
        <v>23</v>
      </c>
      <c r="K329" s="1" t="s">
        <v>31</v>
      </c>
      <c r="L329" s="1">
        <v>8219</v>
      </c>
      <c r="M329" s="3">
        <f t="shared" si="15"/>
        <v>0.12969947682199781</v>
      </c>
      <c r="N329" s="1">
        <v>1066</v>
      </c>
      <c r="O329" s="4">
        <f t="shared" si="16"/>
        <v>7.4545454545454541</v>
      </c>
      <c r="P329" s="1">
        <v>143</v>
      </c>
      <c r="Q329" s="1">
        <v>1162.36996917443</v>
      </c>
      <c r="R329" s="1">
        <v>3061.3479491784601</v>
      </c>
      <c r="S329" s="5">
        <f t="shared" si="17"/>
        <v>3060.3479491784601</v>
      </c>
      <c r="T329" s="1">
        <v>55</v>
      </c>
      <c r="U329" s="1">
        <v>5</v>
      </c>
      <c r="V329" s="1">
        <v>2</v>
      </c>
      <c r="W329" s="1">
        <v>1603</v>
      </c>
      <c r="X329" s="1">
        <v>0.87869735720896303</v>
      </c>
    </row>
    <row r="330" spans="1:24" x14ac:dyDescent="0.3">
      <c r="A330" s="2">
        <v>45346</v>
      </c>
      <c r="B330" s="1" t="s">
        <v>34</v>
      </c>
      <c r="C330" s="1" t="s">
        <v>35</v>
      </c>
      <c r="D330" s="1" t="s">
        <v>19</v>
      </c>
      <c r="E330" s="1" t="s">
        <v>20</v>
      </c>
      <c r="F330" s="1">
        <v>57</v>
      </c>
      <c r="G330" s="1" t="str" cm="1">
        <f t="array" ref="G330">_xlfn.IFS(F330&lt;=25,"YOUTH",F330&lt;=48,"ADULT",TRUE,"SENIOR")</f>
        <v>SENIOR</v>
      </c>
      <c r="H330" s="1" t="s">
        <v>21</v>
      </c>
      <c r="I330" s="1" t="s">
        <v>43</v>
      </c>
      <c r="J330" s="1" t="s">
        <v>23</v>
      </c>
      <c r="K330" s="1" t="s">
        <v>24</v>
      </c>
      <c r="L330" s="1">
        <v>6328</v>
      </c>
      <c r="M330" s="3">
        <f t="shared" si="15"/>
        <v>0.10524652338811631</v>
      </c>
      <c r="N330" s="1">
        <v>666</v>
      </c>
      <c r="O330" s="4">
        <f t="shared" si="16"/>
        <v>7.6551724137931032</v>
      </c>
      <c r="P330" s="1">
        <v>87</v>
      </c>
      <c r="Q330" s="1">
        <v>395.92570470853298</v>
      </c>
      <c r="R330" s="1">
        <v>539.94739304053701</v>
      </c>
      <c r="S330" s="5">
        <f t="shared" si="17"/>
        <v>538.94739304053701</v>
      </c>
      <c r="T330" s="1">
        <v>138</v>
      </c>
      <c r="U330" s="1">
        <v>14</v>
      </c>
      <c r="V330" s="1">
        <v>10</v>
      </c>
      <c r="W330" s="1">
        <v>532</v>
      </c>
      <c r="X330" s="1">
        <v>0.78288422839703098</v>
      </c>
    </row>
    <row r="331" spans="1:24" x14ac:dyDescent="0.3">
      <c r="A331" s="2">
        <v>45313</v>
      </c>
      <c r="B331" s="1" t="s">
        <v>25</v>
      </c>
      <c r="C331" s="1" t="s">
        <v>26</v>
      </c>
      <c r="D331" s="1" t="s">
        <v>36</v>
      </c>
      <c r="E331" s="1" t="s">
        <v>20</v>
      </c>
      <c r="F331" s="1">
        <v>41</v>
      </c>
      <c r="G331" s="1" t="str" cm="1">
        <f t="array" ref="G331">_xlfn.IFS(F331&lt;=25,"YOUTH",F331&lt;=48,"ADULT",TRUE,"SENIOR")</f>
        <v>ADULT</v>
      </c>
      <c r="H331" s="1" t="s">
        <v>21</v>
      </c>
      <c r="I331" s="1" t="s">
        <v>33</v>
      </c>
      <c r="J331" s="1" t="s">
        <v>23</v>
      </c>
      <c r="K331" s="1" t="s">
        <v>31</v>
      </c>
      <c r="L331" s="1">
        <v>4621</v>
      </c>
      <c r="M331" s="3">
        <f t="shared" si="15"/>
        <v>3.5922960398182213E-2</v>
      </c>
      <c r="N331" s="1">
        <v>166</v>
      </c>
      <c r="O331" s="4">
        <f t="shared" si="16"/>
        <v>18.444444444444443</v>
      </c>
      <c r="P331" s="1">
        <v>9</v>
      </c>
      <c r="Q331" s="1">
        <v>174.01861472070101</v>
      </c>
      <c r="R331" s="1">
        <v>454.03707635936502</v>
      </c>
      <c r="S331" s="5">
        <f t="shared" si="17"/>
        <v>453.03707635936502</v>
      </c>
      <c r="T331" s="1">
        <v>138</v>
      </c>
      <c r="U331" s="1">
        <v>14</v>
      </c>
      <c r="V331" s="1">
        <v>13</v>
      </c>
      <c r="W331" s="1">
        <v>844</v>
      </c>
      <c r="X331" s="1">
        <v>0.53461753291807101</v>
      </c>
    </row>
    <row r="332" spans="1:24" x14ac:dyDescent="0.3">
      <c r="A332" s="2">
        <v>45314</v>
      </c>
      <c r="B332" s="1" t="s">
        <v>25</v>
      </c>
      <c r="C332" s="1" t="s">
        <v>26</v>
      </c>
      <c r="D332" s="1" t="s">
        <v>19</v>
      </c>
      <c r="E332" s="1" t="s">
        <v>28</v>
      </c>
      <c r="F332" s="1">
        <v>49</v>
      </c>
      <c r="G332" s="1" t="str" cm="1">
        <f t="array" ref="G332">_xlfn.IFS(F332&lt;=25,"YOUTH",F332&lt;=48,"ADULT",TRUE,"SENIOR")</f>
        <v>SENIOR</v>
      </c>
      <c r="H332" s="1" t="s">
        <v>29</v>
      </c>
      <c r="I332" s="1" t="s">
        <v>37</v>
      </c>
      <c r="J332" s="1" t="s">
        <v>38</v>
      </c>
      <c r="K332" s="1" t="s">
        <v>31</v>
      </c>
      <c r="L332" s="1">
        <v>25256</v>
      </c>
      <c r="M332" s="3">
        <f t="shared" si="15"/>
        <v>4.7671840354767181E-2</v>
      </c>
      <c r="N332" s="1">
        <v>1204</v>
      </c>
      <c r="O332" s="4">
        <f t="shared" si="16"/>
        <v>5.1234042553191488</v>
      </c>
      <c r="P332" s="1">
        <v>235</v>
      </c>
      <c r="Q332" s="1">
        <v>1283.01413701914</v>
      </c>
      <c r="R332" s="1">
        <v>11024.2222775879</v>
      </c>
      <c r="S332" s="5">
        <f t="shared" si="17"/>
        <v>11023.2222775879</v>
      </c>
      <c r="T332" s="1">
        <v>618</v>
      </c>
      <c r="U332" s="1">
        <v>53</v>
      </c>
      <c r="V332" s="1">
        <v>41</v>
      </c>
      <c r="W332" s="1">
        <v>1334</v>
      </c>
      <c r="X332" s="1">
        <v>0.75686658078198299</v>
      </c>
    </row>
    <row r="333" spans="1:24" x14ac:dyDescent="0.3">
      <c r="A333" s="2">
        <v>45347</v>
      </c>
      <c r="B333" s="1" t="s">
        <v>40</v>
      </c>
      <c r="C333" s="1" t="s">
        <v>18</v>
      </c>
      <c r="D333" s="1" t="s">
        <v>32</v>
      </c>
      <c r="E333" s="1" t="s">
        <v>28</v>
      </c>
      <c r="F333" s="1">
        <v>39</v>
      </c>
      <c r="G333" s="1" t="str" cm="1">
        <f t="array" ref="G333">_xlfn.IFS(F333&lt;=25,"YOUTH",F333&lt;=48,"ADULT",TRUE,"SENIOR")</f>
        <v>ADULT</v>
      </c>
      <c r="H333" s="1" t="s">
        <v>21</v>
      </c>
      <c r="I333" s="1" t="s">
        <v>22</v>
      </c>
      <c r="J333" s="1" t="s">
        <v>38</v>
      </c>
      <c r="K333" s="1" t="s">
        <v>24</v>
      </c>
      <c r="L333" s="1">
        <v>45433</v>
      </c>
      <c r="M333" s="3">
        <f t="shared" si="15"/>
        <v>0.12209187154711333</v>
      </c>
      <c r="N333" s="1">
        <v>5547</v>
      </c>
      <c r="O333" s="4">
        <f t="shared" si="16"/>
        <v>7.506089309878214</v>
      </c>
      <c r="P333" s="1">
        <v>739</v>
      </c>
      <c r="Q333" s="1">
        <v>5492.95392172225</v>
      </c>
      <c r="R333" s="1">
        <v>23428.222918151401</v>
      </c>
      <c r="S333" s="5">
        <f t="shared" si="17"/>
        <v>23427.222918151401</v>
      </c>
      <c r="T333" s="1">
        <v>557</v>
      </c>
      <c r="U333" s="1">
        <v>63</v>
      </c>
      <c r="V333" s="1">
        <v>49</v>
      </c>
      <c r="W333" s="1">
        <v>2087</v>
      </c>
      <c r="X333" s="1">
        <v>0.74053765499611002</v>
      </c>
    </row>
    <row r="334" spans="1:24" x14ac:dyDescent="0.3">
      <c r="A334" s="2">
        <v>45345</v>
      </c>
      <c r="B334" s="1" t="s">
        <v>34</v>
      </c>
      <c r="C334" s="1" t="s">
        <v>26</v>
      </c>
      <c r="D334" s="1" t="s">
        <v>32</v>
      </c>
      <c r="E334" s="1" t="s">
        <v>20</v>
      </c>
      <c r="F334" s="1">
        <v>40</v>
      </c>
      <c r="G334" s="1" t="str" cm="1">
        <f t="array" ref="G334">_xlfn.IFS(F334&lt;=25,"YOUTH",F334&lt;=48,"ADULT",TRUE,"SENIOR")</f>
        <v>ADULT</v>
      </c>
      <c r="H334" s="1" t="s">
        <v>21</v>
      </c>
      <c r="I334" s="1" t="s">
        <v>37</v>
      </c>
      <c r="J334" s="1" t="s">
        <v>23</v>
      </c>
      <c r="K334" s="1" t="s">
        <v>39</v>
      </c>
      <c r="L334" s="1">
        <v>12314</v>
      </c>
      <c r="M334" s="3">
        <f t="shared" si="15"/>
        <v>7.3493584537924317E-2</v>
      </c>
      <c r="N334" s="1">
        <v>905</v>
      </c>
      <c r="O334" s="4">
        <f t="shared" si="16"/>
        <v>10.284090909090908</v>
      </c>
      <c r="P334" s="1">
        <v>88</v>
      </c>
      <c r="Q334" s="1">
        <v>1801.45136112403</v>
      </c>
      <c r="R334" s="1">
        <v>3446.9242398595702</v>
      </c>
      <c r="S334" s="5">
        <f t="shared" si="17"/>
        <v>3445.9242398595702</v>
      </c>
      <c r="T334" s="1">
        <v>147</v>
      </c>
      <c r="U334" s="1">
        <v>17</v>
      </c>
      <c r="V334" s="1">
        <v>3</v>
      </c>
      <c r="W334" s="1">
        <v>1566</v>
      </c>
      <c r="X334" s="1">
        <v>0.85146401496827795</v>
      </c>
    </row>
    <row r="335" spans="1:24" x14ac:dyDescent="0.3">
      <c r="A335" s="2">
        <v>45310</v>
      </c>
      <c r="B335" s="1" t="s">
        <v>40</v>
      </c>
      <c r="C335" s="1" t="s">
        <v>26</v>
      </c>
      <c r="D335" s="1" t="s">
        <v>32</v>
      </c>
      <c r="E335" s="1" t="s">
        <v>28</v>
      </c>
      <c r="F335" s="1">
        <v>19</v>
      </c>
      <c r="G335" s="1" t="str" cm="1">
        <f t="array" ref="G335">_xlfn.IFS(F335&lt;=25,"YOUTH",F335&lt;=48,"ADULT",TRUE,"SENIOR")</f>
        <v>YOUTH</v>
      </c>
      <c r="H335" s="1" t="s">
        <v>42</v>
      </c>
      <c r="I335" s="1" t="s">
        <v>33</v>
      </c>
      <c r="J335" s="1" t="s">
        <v>38</v>
      </c>
      <c r="K335" s="1" t="s">
        <v>39</v>
      </c>
      <c r="L335" s="1">
        <v>1652</v>
      </c>
      <c r="M335" s="3">
        <f t="shared" si="15"/>
        <v>0.10351089588377724</v>
      </c>
      <c r="N335" s="1">
        <v>171</v>
      </c>
      <c r="O335" s="4">
        <f t="shared" si="16"/>
        <v>19</v>
      </c>
      <c r="P335" s="1">
        <v>9</v>
      </c>
      <c r="Q335" s="1">
        <v>133.202693264315</v>
      </c>
      <c r="R335" s="1">
        <v>599.09397714786905</v>
      </c>
      <c r="S335" s="5">
        <f t="shared" si="17"/>
        <v>598.09397714786905</v>
      </c>
      <c r="T335" s="1">
        <v>35</v>
      </c>
      <c r="U335" s="1">
        <v>5</v>
      </c>
      <c r="V335" s="1">
        <v>0</v>
      </c>
      <c r="W335" s="1">
        <v>261</v>
      </c>
      <c r="X335" s="1">
        <v>0.49797292834818402</v>
      </c>
    </row>
    <row r="336" spans="1:24" x14ac:dyDescent="0.3">
      <c r="A336" s="2">
        <v>45309</v>
      </c>
      <c r="B336" s="1" t="s">
        <v>40</v>
      </c>
      <c r="C336" s="1" t="s">
        <v>41</v>
      </c>
      <c r="D336" s="1" t="s">
        <v>36</v>
      </c>
      <c r="E336" s="1" t="s">
        <v>20</v>
      </c>
      <c r="F336" s="1">
        <v>44</v>
      </c>
      <c r="G336" s="1" t="str" cm="1">
        <f t="array" ref="G336">_xlfn.IFS(F336&lt;=25,"YOUTH",F336&lt;=48,"ADULT",TRUE,"SENIOR")</f>
        <v>ADULT</v>
      </c>
      <c r="H336" s="1" t="s">
        <v>21</v>
      </c>
      <c r="I336" s="1" t="s">
        <v>33</v>
      </c>
      <c r="J336" s="1" t="s">
        <v>23</v>
      </c>
      <c r="K336" s="1" t="s">
        <v>39</v>
      </c>
      <c r="L336" s="1">
        <v>17182</v>
      </c>
      <c r="M336" s="3">
        <f t="shared" si="15"/>
        <v>5.4533814456989876E-2</v>
      </c>
      <c r="N336" s="1">
        <v>937</v>
      </c>
      <c r="O336" s="4">
        <f t="shared" si="16"/>
        <v>6.8394160583941606</v>
      </c>
      <c r="P336" s="1">
        <v>137</v>
      </c>
      <c r="Q336" s="1">
        <v>1025.69525897315</v>
      </c>
      <c r="R336" s="1">
        <v>5985.2576109629199</v>
      </c>
      <c r="S336" s="5">
        <f t="shared" si="17"/>
        <v>5984.2576109629199</v>
      </c>
      <c r="T336" s="1">
        <v>470</v>
      </c>
      <c r="U336" s="1">
        <v>77</v>
      </c>
      <c r="V336" s="1">
        <v>31</v>
      </c>
      <c r="W336" s="1">
        <v>2022</v>
      </c>
      <c r="X336" s="1">
        <v>0.78479906685074696</v>
      </c>
    </row>
    <row r="337" spans="1:24" x14ac:dyDescent="0.3">
      <c r="A337" s="2">
        <v>45303</v>
      </c>
      <c r="B337" s="1" t="s">
        <v>34</v>
      </c>
      <c r="C337" s="1" t="s">
        <v>18</v>
      </c>
      <c r="D337" s="1" t="s">
        <v>32</v>
      </c>
      <c r="E337" s="1" t="s">
        <v>20</v>
      </c>
      <c r="F337" s="1">
        <v>59</v>
      </c>
      <c r="G337" s="1" t="str" cm="1">
        <f t="array" ref="G337">_xlfn.IFS(F337&lt;=25,"YOUTH",F337&lt;=48,"ADULT",TRUE,"SENIOR")</f>
        <v>SENIOR</v>
      </c>
      <c r="H337" s="1" t="s">
        <v>21</v>
      </c>
      <c r="I337" s="1" t="s">
        <v>33</v>
      </c>
      <c r="J337" s="1" t="s">
        <v>23</v>
      </c>
      <c r="K337" s="1" t="s">
        <v>31</v>
      </c>
      <c r="L337" s="1">
        <v>42580</v>
      </c>
      <c r="M337" s="3">
        <f t="shared" si="15"/>
        <v>6.336308125880695E-2</v>
      </c>
      <c r="N337" s="1">
        <v>2698</v>
      </c>
      <c r="O337" s="4">
        <f t="shared" si="16"/>
        <v>5.1785028790786951</v>
      </c>
      <c r="P337" s="1">
        <v>521</v>
      </c>
      <c r="Q337" s="1">
        <v>3227.3415473815699</v>
      </c>
      <c r="R337" s="1">
        <v>24884.2394701716</v>
      </c>
      <c r="S337" s="5">
        <f t="shared" si="17"/>
        <v>24883.2394701716</v>
      </c>
      <c r="T337" s="1">
        <v>828</v>
      </c>
      <c r="U337" s="1">
        <v>61</v>
      </c>
      <c r="V337" s="1">
        <v>42</v>
      </c>
      <c r="W337" s="1">
        <v>2284</v>
      </c>
      <c r="X337" s="1">
        <v>0.41505388067353599</v>
      </c>
    </row>
    <row r="338" spans="1:24" x14ac:dyDescent="0.3">
      <c r="A338" s="2">
        <v>45346</v>
      </c>
      <c r="B338" s="1" t="s">
        <v>40</v>
      </c>
      <c r="C338" s="1" t="s">
        <v>41</v>
      </c>
      <c r="D338" s="1" t="s">
        <v>36</v>
      </c>
      <c r="E338" s="1" t="s">
        <v>28</v>
      </c>
      <c r="F338" s="1">
        <v>19</v>
      </c>
      <c r="G338" s="1" t="str" cm="1">
        <f t="array" ref="G338">_xlfn.IFS(F338&lt;=25,"YOUTH",F338&lt;=48,"ADULT",TRUE,"SENIOR")</f>
        <v>YOUTH</v>
      </c>
      <c r="H338" s="1" t="s">
        <v>21</v>
      </c>
      <c r="I338" s="1" t="s">
        <v>22</v>
      </c>
      <c r="J338" s="1" t="s">
        <v>23</v>
      </c>
      <c r="K338" s="1" t="s">
        <v>39</v>
      </c>
      <c r="L338" s="1">
        <v>37558</v>
      </c>
      <c r="M338" s="3">
        <f t="shared" si="15"/>
        <v>0.14867671335001864</v>
      </c>
      <c r="N338" s="1">
        <v>5584</v>
      </c>
      <c r="O338" s="4">
        <f t="shared" si="16"/>
        <v>11.805496828752643</v>
      </c>
      <c r="P338" s="1">
        <v>473</v>
      </c>
      <c r="Q338" s="1">
        <v>2239.42237125564</v>
      </c>
      <c r="R338" s="1">
        <v>4329.9535625813396</v>
      </c>
      <c r="S338" s="5">
        <f t="shared" si="17"/>
        <v>4328.9535625813396</v>
      </c>
      <c r="T338" s="1">
        <v>682</v>
      </c>
      <c r="U338" s="1">
        <v>94</v>
      </c>
      <c r="V338" s="1">
        <v>62</v>
      </c>
      <c r="W338" s="1">
        <v>645</v>
      </c>
      <c r="X338" s="1">
        <v>0.78289641534967203</v>
      </c>
    </row>
    <row r="339" spans="1:24" x14ac:dyDescent="0.3">
      <c r="A339" s="2">
        <v>45319</v>
      </c>
      <c r="B339" s="1" t="s">
        <v>25</v>
      </c>
      <c r="C339" s="1" t="s">
        <v>41</v>
      </c>
      <c r="D339" s="1" t="s">
        <v>36</v>
      </c>
      <c r="E339" s="1" t="s">
        <v>28</v>
      </c>
      <c r="F339" s="1">
        <v>43</v>
      </c>
      <c r="G339" s="1" t="str" cm="1">
        <f t="array" ref="G339">_xlfn.IFS(F339&lt;=25,"YOUTH",F339&lt;=48,"ADULT",TRUE,"SENIOR")</f>
        <v>ADULT</v>
      </c>
      <c r="H339" s="1" t="s">
        <v>21</v>
      </c>
      <c r="I339" s="1" t="s">
        <v>43</v>
      </c>
      <c r="J339" s="1" t="s">
        <v>38</v>
      </c>
      <c r="K339" s="1" t="s">
        <v>31</v>
      </c>
      <c r="L339" s="1">
        <v>16659</v>
      </c>
      <c r="M339" s="3">
        <f t="shared" si="15"/>
        <v>4.4660543850171076E-2</v>
      </c>
      <c r="N339" s="1">
        <v>744</v>
      </c>
      <c r="O339" s="4">
        <f t="shared" si="16"/>
        <v>14.307692307692308</v>
      </c>
      <c r="P339" s="1">
        <v>52</v>
      </c>
      <c r="Q339" s="1">
        <v>888.64733439999998</v>
      </c>
      <c r="R339" s="1">
        <v>821.06127708192298</v>
      </c>
      <c r="S339" s="5">
        <f t="shared" si="17"/>
        <v>820.06127708192298</v>
      </c>
      <c r="T339" s="1">
        <v>150</v>
      </c>
      <c r="U339" s="1">
        <v>27</v>
      </c>
      <c r="V339" s="1">
        <v>6</v>
      </c>
      <c r="W339" s="1">
        <v>2123</v>
      </c>
      <c r="X339" s="1">
        <v>0.92824051716620604</v>
      </c>
    </row>
    <row r="340" spans="1:24" x14ac:dyDescent="0.3">
      <c r="A340" s="2">
        <v>45319</v>
      </c>
      <c r="B340" s="1" t="s">
        <v>34</v>
      </c>
      <c r="C340" s="1" t="s">
        <v>35</v>
      </c>
      <c r="D340" s="1" t="s">
        <v>32</v>
      </c>
      <c r="E340" s="1" t="s">
        <v>20</v>
      </c>
      <c r="F340" s="1">
        <v>34</v>
      </c>
      <c r="G340" s="1" t="str" cm="1">
        <f t="array" ref="G340">_xlfn.IFS(F340&lt;=25,"YOUTH",F340&lt;=48,"ADULT",TRUE,"SENIOR")</f>
        <v>ADULT</v>
      </c>
      <c r="H340" s="1" t="s">
        <v>29</v>
      </c>
      <c r="I340" s="1" t="s">
        <v>37</v>
      </c>
      <c r="J340" s="1" t="s">
        <v>23</v>
      </c>
      <c r="K340" s="1" t="s">
        <v>24</v>
      </c>
      <c r="L340" s="1">
        <v>35413</v>
      </c>
      <c r="M340" s="3">
        <f t="shared" si="15"/>
        <v>8.0902493434614406E-2</v>
      </c>
      <c r="N340" s="1">
        <v>2865</v>
      </c>
      <c r="O340" s="4">
        <f t="shared" si="16"/>
        <v>7.144638403990025</v>
      </c>
      <c r="P340" s="1">
        <v>401</v>
      </c>
      <c r="Q340" s="1">
        <v>3441.7044013494001</v>
      </c>
      <c r="R340" s="1">
        <v>9849.3210846680395</v>
      </c>
      <c r="S340" s="5">
        <f t="shared" si="17"/>
        <v>9848.3210846680395</v>
      </c>
      <c r="T340" s="1">
        <v>810</v>
      </c>
      <c r="U340" s="1">
        <v>53</v>
      </c>
      <c r="V340" s="1">
        <v>44</v>
      </c>
      <c r="W340" s="1">
        <v>1235</v>
      </c>
      <c r="X340" s="1">
        <v>0.49591354643728902</v>
      </c>
    </row>
    <row r="341" spans="1:24" x14ac:dyDescent="0.3">
      <c r="A341" s="2">
        <v>45351</v>
      </c>
      <c r="B341" s="1" t="s">
        <v>34</v>
      </c>
      <c r="C341" s="1" t="s">
        <v>35</v>
      </c>
      <c r="D341" s="1" t="s">
        <v>19</v>
      </c>
      <c r="E341" s="1" t="s">
        <v>20</v>
      </c>
      <c r="F341" s="1">
        <v>57</v>
      </c>
      <c r="G341" s="1" t="str" cm="1">
        <f t="array" ref="G341">_xlfn.IFS(F341&lt;=25,"YOUTH",F341&lt;=48,"ADULT",TRUE,"SENIOR")</f>
        <v>SENIOR</v>
      </c>
      <c r="H341" s="1" t="s">
        <v>21</v>
      </c>
      <c r="I341" s="1" t="s">
        <v>37</v>
      </c>
      <c r="J341" s="1" t="s">
        <v>38</v>
      </c>
      <c r="K341" s="1" t="s">
        <v>24</v>
      </c>
      <c r="L341" s="1">
        <v>11435</v>
      </c>
      <c r="M341" s="3">
        <f t="shared" si="15"/>
        <v>0.12820288587669437</v>
      </c>
      <c r="N341" s="1">
        <v>1466</v>
      </c>
      <c r="O341" s="4">
        <f t="shared" si="16"/>
        <v>18.098765432098766</v>
      </c>
      <c r="P341" s="1">
        <v>81</v>
      </c>
      <c r="Q341" s="1">
        <v>252.092321624292</v>
      </c>
      <c r="R341" s="1">
        <v>3244.8321094181701</v>
      </c>
      <c r="S341" s="5">
        <f t="shared" si="17"/>
        <v>3243.8321094181701</v>
      </c>
      <c r="T341" s="1">
        <v>257</v>
      </c>
      <c r="U341" s="1">
        <v>31</v>
      </c>
      <c r="V341" s="1">
        <v>15</v>
      </c>
      <c r="W341" s="1">
        <v>859</v>
      </c>
      <c r="X341" s="1">
        <v>0.57121487505045399</v>
      </c>
    </row>
    <row r="342" spans="1:24" x14ac:dyDescent="0.3">
      <c r="A342" s="2">
        <v>45350</v>
      </c>
      <c r="B342" s="1" t="s">
        <v>34</v>
      </c>
      <c r="C342" s="1" t="s">
        <v>18</v>
      </c>
      <c r="D342" s="1" t="s">
        <v>27</v>
      </c>
      <c r="E342" s="1" t="s">
        <v>20</v>
      </c>
      <c r="F342" s="1">
        <v>50</v>
      </c>
      <c r="G342" s="1" t="str" cm="1">
        <f t="array" ref="G342">_xlfn.IFS(F342&lt;=25,"YOUTH",F342&lt;=48,"ADULT",TRUE,"SENIOR")</f>
        <v>SENIOR</v>
      </c>
      <c r="H342" s="1" t="s">
        <v>21</v>
      </c>
      <c r="I342" s="1" t="s">
        <v>43</v>
      </c>
      <c r="J342" s="1" t="s">
        <v>38</v>
      </c>
      <c r="K342" s="1" t="s">
        <v>31</v>
      </c>
      <c r="L342" s="1">
        <v>29067</v>
      </c>
      <c r="M342" s="3">
        <f t="shared" si="15"/>
        <v>4.3485739842433001E-2</v>
      </c>
      <c r="N342" s="1">
        <v>1264</v>
      </c>
      <c r="O342" s="4">
        <f t="shared" si="16"/>
        <v>5.7716894977168947</v>
      </c>
      <c r="P342" s="1">
        <v>219</v>
      </c>
      <c r="Q342" s="1">
        <v>1562.1126775528701</v>
      </c>
      <c r="R342" s="1">
        <v>12149.771404322501</v>
      </c>
      <c r="S342" s="5">
        <f t="shared" si="17"/>
        <v>12148.771404322501</v>
      </c>
      <c r="T342" s="1">
        <v>847</v>
      </c>
      <c r="U342" s="1">
        <v>137</v>
      </c>
      <c r="V342" s="1">
        <v>35</v>
      </c>
      <c r="W342" s="1">
        <v>4022</v>
      </c>
      <c r="X342" s="1">
        <v>0.72057936461570304</v>
      </c>
    </row>
    <row r="343" spans="1:24" x14ac:dyDescent="0.3">
      <c r="A343" s="2">
        <v>45324</v>
      </c>
      <c r="B343" s="1" t="s">
        <v>34</v>
      </c>
      <c r="C343" s="1" t="s">
        <v>18</v>
      </c>
      <c r="D343" s="1" t="s">
        <v>36</v>
      </c>
      <c r="E343" s="1" t="s">
        <v>20</v>
      </c>
      <c r="F343" s="1">
        <v>26</v>
      </c>
      <c r="G343" s="1" t="str" cm="1">
        <f t="array" ref="G343">_xlfn.IFS(F343&lt;=25,"YOUTH",F343&lt;=48,"ADULT",TRUE,"SENIOR")</f>
        <v>ADULT</v>
      </c>
      <c r="H343" s="1" t="s">
        <v>21</v>
      </c>
      <c r="I343" s="1" t="s">
        <v>37</v>
      </c>
      <c r="J343" s="1" t="s">
        <v>23</v>
      </c>
      <c r="K343" s="1" t="s">
        <v>39</v>
      </c>
      <c r="L343" s="1">
        <v>23258</v>
      </c>
      <c r="M343" s="3">
        <f t="shared" si="15"/>
        <v>6.8105598073781068E-2</v>
      </c>
      <c r="N343" s="1">
        <v>1584</v>
      </c>
      <c r="O343" s="4">
        <f t="shared" si="16"/>
        <v>6.2857142857142856</v>
      </c>
      <c r="P343" s="1">
        <v>252</v>
      </c>
      <c r="Q343" s="1">
        <v>2464.8751676474299</v>
      </c>
      <c r="R343" s="1">
        <v>6521.9255781770498</v>
      </c>
      <c r="S343" s="5">
        <f t="shared" si="17"/>
        <v>6520.9255781770498</v>
      </c>
      <c r="T343" s="1">
        <v>290</v>
      </c>
      <c r="U343" s="1">
        <v>41</v>
      </c>
      <c r="V343" s="1">
        <v>26</v>
      </c>
      <c r="W343" s="1">
        <v>665</v>
      </c>
      <c r="X343" s="1">
        <v>0.80281727522149005</v>
      </c>
    </row>
    <row r="344" spans="1:24" x14ac:dyDescent="0.3">
      <c r="A344" s="2">
        <v>45310</v>
      </c>
      <c r="B344" s="1" t="s">
        <v>40</v>
      </c>
      <c r="C344" s="1" t="s">
        <v>35</v>
      </c>
      <c r="D344" s="1" t="s">
        <v>32</v>
      </c>
      <c r="E344" s="1" t="s">
        <v>28</v>
      </c>
      <c r="F344" s="1">
        <v>56</v>
      </c>
      <c r="G344" s="1" t="str" cm="1">
        <f t="array" ref="G344">_xlfn.IFS(F344&lt;=25,"YOUTH",F344&lt;=48,"ADULT",TRUE,"SENIOR")</f>
        <v>SENIOR</v>
      </c>
      <c r="H344" s="1" t="s">
        <v>29</v>
      </c>
      <c r="I344" s="1" t="s">
        <v>22</v>
      </c>
      <c r="J344" s="1" t="s">
        <v>23</v>
      </c>
      <c r="K344" s="1" t="s">
        <v>39</v>
      </c>
      <c r="L344" s="1">
        <v>29287</v>
      </c>
      <c r="M344" s="3">
        <f t="shared" si="15"/>
        <v>9.6083586574247953E-2</v>
      </c>
      <c r="N344" s="1">
        <v>2814</v>
      </c>
      <c r="O344" s="4">
        <f t="shared" si="16"/>
        <v>25.125</v>
      </c>
      <c r="P344" s="1">
        <v>112</v>
      </c>
      <c r="Q344" s="1">
        <v>707.81262427586103</v>
      </c>
      <c r="R344" s="1">
        <v>3154.46409388547</v>
      </c>
      <c r="S344" s="5">
        <f t="shared" si="17"/>
        <v>3153.46409388547</v>
      </c>
      <c r="T344" s="1">
        <v>700</v>
      </c>
      <c r="U344" s="1">
        <v>45</v>
      </c>
      <c r="V344" s="1">
        <v>40</v>
      </c>
      <c r="W344" s="1">
        <v>1000</v>
      </c>
      <c r="X344" s="1">
        <v>0.58940426472249297</v>
      </c>
    </row>
    <row r="345" spans="1:24" x14ac:dyDescent="0.3">
      <c r="A345" s="2">
        <v>45319</v>
      </c>
      <c r="B345" s="1" t="s">
        <v>40</v>
      </c>
      <c r="C345" s="1" t="s">
        <v>35</v>
      </c>
      <c r="D345" s="1" t="s">
        <v>36</v>
      </c>
      <c r="E345" s="1" t="s">
        <v>20</v>
      </c>
      <c r="F345" s="1">
        <v>46</v>
      </c>
      <c r="G345" s="1" t="str" cm="1">
        <f t="array" ref="G345">_xlfn.IFS(F345&lt;=25,"YOUTH",F345&lt;=48,"ADULT",TRUE,"SENIOR")</f>
        <v>ADULT</v>
      </c>
      <c r="H345" s="1" t="s">
        <v>29</v>
      </c>
      <c r="I345" s="1" t="s">
        <v>37</v>
      </c>
      <c r="J345" s="1" t="s">
        <v>38</v>
      </c>
      <c r="K345" s="1" t="s">
        <v>31</v>
      </c>
      <c r="L345" s="1">
        <v>4688</v>
      </c>
      <c r="M345" s="3">
        <f t="shared" si="15"/>
        <v>7.721843003412969E-2</v>
      </c>
      <c r="N345" s="1">
        <v>362</v>
      </c>
      <c r="O345" s="4">
        <f t="shared" si="16"/>
        <v>36.200000000000003</v>
      </c>
      <c r="P345" s="1">
        <v>10</v>
      </c>
      <c r="Q345" s="1">
        <v>144.466515053205</v>
      </c>
      <c r="R345" s="1">
        <v>216.49807536293599</v>
      </c>
      <c r="S345" s="5">
        <f t="shared" si="17"/>
        <v>215.49807536293599</v>
      </c>
      <c r="T345" s="1">
        <v>74</v>
      </c>
      <c r="U345" s="1">
        <v>8</v>
      </c>
      <c r="V345" s="1">
        <v>3</v>
      </c>
      <c r="W345" s="1">
        <v>101</v>
      </c>
      <c r="X345" s="1">
        <v>0.76534243742707497</v>
      </c>
    </row>
    <row r="346" spans="1:24" x14ac:dyDescent="0.3">
      <c r="A346" s="2">
        <v>45350</v>
      </c>
      <c r="B346" s="1" t="s">
        <v>25</v>
      </c>
      <c r="C346" s="1" t="s">
        <v>35</v>
      </c>
      <c r="D346" s="1" t="s">
        <v>19</v>
      </c>
      <c r="E346" s="1" t="s">
        <v>28</v>
      </c>
      <c r="F346" s="1">
        <v>59</v>
      </c>
      <c r="G346" s="1" t="str" cm="1">
        <f t="array" ref="G346">_xlfn.IFS(F346&lt;=25,"YOUTH",F346&lt;=48,"ADULT",TRUE,"SENIOR")</f>
        <v>SENIOR</v>
      </c>
      <c r="H346" s="1" t="s">
        <v>21</v>
      </c>
      <c r="I346" s="1" t="s">
        <v>33</v>
      </c>
      <c r="J346" s="1" t="s">
        <v>23</v>
      </c>
      <c r="K346" s="1" t="s">
        <v>24</v>
      </c>
      <c r="L346" s="1">
        <v>8689</v>
      </c>
      <c r="M346" s="3">
        <f t="shared" si="15"/>
        <v>7.4231787317297737E-2</v>
      </c>
      <c r="N346" s="1">
        <v>645</v>
      </c>
      <c r="O346" s="4">
        <f t="shared" si="16"/>
        <v>6.2019230769230766</v>
      </c>
      <c r="P346" s="1">
        <v>104</v>
      </c>
      <c r="Q346" s="1">
        <v>505.19148330000002</v>
      </c>
      <c r="R346" s="1">
        <v>2241.1590660362599</v>
      </c>
      <c r="S346" s="5">
        <f t="shared" si="17"/>
        <v>2240.1590660362599</v>
      </c>
      <c r="T346" s="1">
        <v>164</v>
      </c>
      <c r="U346" s="1">
        <v>20</v>
      </c>
      <c r="V346" s="1">
        <v>14</v>
      </c>
      <c r="W346" s="1">
        <v>1731</v>
      </c>
      <c r="X346" s="1">
        <v>0.89460333589498298</v>
      </c>
    </row>
    <row r="347" spans="1:24" x14ac:dyDescent="0.3">
      <c r="A347" s="2">
        <v>45343</v>
      </c>
      <c r="B347" s="1" t="s">
        <v>17</v>
      </c>
      <c r="C347" s="1" t="s">
        <v>35</v>
      </c>
      <c r="D347" s="1" t="s">
        <v>19</v>
      </c>
      <c r="E347" s="1" t="s">
        <v>28</v>
      </c>
      <c r="F347" s="1">
        <v>43</v>
      </c>
      <c r="G347" s="1" t="str" cm="1">
        <f t="array" ref="G347">_xlfn.IFS(F347&lt;=25,"YOUTH",F347&lt;=48,"ADULT",TRUE,"SENIOR")</f>
        <v>ADULT</v>
      </c>
      <c r="H347" s="1" t="s">
        <v>29</v>
      </c>
      <c r="I347" s="1" t="s">
        <v>43</v>
      </c>
      <c r="J347" s="1" t="s">
        <v>38</v>
      </c>
      <c r="K347" s="1" t="s">
        <v>31</v>
      </c>
      <c r="L347" s="1">
        <v>2379</v>
      </c>
      <c r="M347" s="3">
        <f t="shared" si="15"/>
        <v>6.0529634300126103E-2</v>
      </c>
      <c r="N347" s="1">
        <v>144</v>
      </c>
      <c r="O347" s="4">
        <f t="shared" si="16"/>
        <v>12</v>
      </c>
      <c r="P347" s="1">
        <v>12</v>
      </c>
      <c r="Q347" s="1">
        <v>319.05869006580002</v>
      </c>
      <c r="R347" s="1">
        <v>800.11379979794106</v>
      </c>
      <c r="S347" s="5">
        <f t="shared" si="17"/>
        <v>799.11379979794106</v>
      </c>
      <c r="T347" s="1">
        <v>60</v>
      </c>
      <c r="U347" s="1">
        <v>11</v>
      </c>
      <c r="V347" s="1">
        <v>2</v>
      </c>
      <c r="W347" s="1">
        <v>198</v>
      </c>
      <c r="X347" s="1">
        <v>0.79960733299999998</v>
      </c>
    </row>
    <row r="348" spans="1:24" x14ac:dyDescent="0.3">
      <c r="A348" s="2">
        <v>45340</v>
      </c>
      <c r="B348" s="1" t="s">
        <v>17</v>
      </c>
      <c r="C348" s="1" t="s">
        <v>35</v>
      </c>
      <c r="D348" s="1" t="s">
        <v>32</v>
      </c>
      <c r="E348" s="1" t="s">
        <v>20</v>
      </c>
      <c r="F348" s="1">
        <v>52</v>
      </c>
      <c r="G348" s="1" t="str" cm="1">
        <f t="array" ref="G348">_xlfn.IFS(F348&lt;=25,"YOUTH",F348&lt;=48,"ADULT",TRUE,"SENIOR")</f>
        <v>SENIOR</v>
      </c>
      <c r="H348" s="1" t="s">
        <v>21</v>
      </c>
      <c r="I348" s="1" t="s">
        <v>22</v>
      </c>
      <c r="J348" s="1" t="s">
        <v>38</v>
      </c>
      <c r="K348" s="1" t="s">
        <v>31</v>
      </c>
      <c r="L348" s="1">
        <v>38011</v>
      </c>
      <c r="M348" s="3">
        <f t="shared" si="15"/>
        <v>9.2104916997711186E-2</v>
      </c>
      <c r="N348" s="1">
        <v>3501</v>
      </c>
      <c r="O348" s="4">
        <f t="shared" si="16"/>
        <v>25.187050359712231</v>
      </c>
      <c r="P348" s="1">
        <v>139</v>
      </c>
      <c r="Q348" s="1">
        <v>4539.8514180000002</v>
      </c>
      <c r="R348" s="1">
        <v>6436.3556178566696</v>
      </c>
      <c r="S348" s="5">
        <f t="shared" si="17"/>
        <v>6435.3556178566696</v>
      </c>
      <c r="T348" s="1">
        <v>401</v>
      </c>
      <c r="U348" s="1">
        <v>30</v>
      </c>
      <c r="V348" s="1">
        <v>34</v>
      </c>
      <c r="W348" s="1">
        <v>6921</v>
      </c>
      <c r="X348" s="1">
        <v>0.79106249468123402</v>
      </c>
    </row>
    <row r="349" spans="1:24" x14ac:dyDescent="0.3">
      <c r="A349" s="2">
        <v>45328</v>
      </c>
      <c r="B349" s="1" t="s">
        <v>25</v>
      </c>
      <c r="C349" s="1" t="s">
        <v>41</v>
      </c>
      <c r="D349" s="1" t="s">
        <v>36</v>
      </c>
      <c r="E349" s="1" t="s">
        <v>28</v>
      </c>
      <c r="F349" s="1">
        <v>42</v>
      </c>
      <c r="G349" s="1" t="str" cm="1">
        <f t="array" ref="G349">_xlfn.IFS(F349&lt;=25,"YOUTH",F349&lt;=48,"ADULT",TRUE,"SENIOR")</f>
        <v>ADULT</v>
      </c>
      <c r="H349" s="1" t="s">
        <v>29</v>
      </c>
      <c r="I349" s="1" t="s">
        <v>43</v>
      </c>
      <c r="J349" s="1" t="s">
        <v>23</v>
      </c>
      <c r="K349" s="1" t="s">
        <v>39</v>
      </c>
      <c r="L349" s="1">
        <v>44005</v>
      </c>
      <c r="M349" s="3">
        <f t="shared" si="15"/>
        <v>9.739802295193728E-2</v>
      </c>
      <c r="N349" s="1">
        <v>4286</v>
      </c>
      <c r="O349" s="4">
        <f t="shared" si="16"/>
        <v>5.1390887290167866</v>
      </c>
      <c r="P349" s="1">
        <v>834</v>
      </c>
      <c r="Q349" s="1">
        <v>1006.85032207003</v>
      </c>
      <c r="R349" s="1">
        <v>12621.406412300499</v>
      </c>
      <c r="S349" s="5">
        <f t="shared" si="17"/>
        <v>12620.406412300499</v>
      </c>
      <c r="T349" s="1">
        <v>597</v>
      </c>
      <c r="U349" s="1">
        <v>117</v>
      </c>
      <c r="V349" s="1">
        <v>17</v>
      </c>
      <c r="W349" s="1">
        <v>2894</v>
      </c>
      <c r="X349" s="1">
        <v>0.61008386212913801</v>
      </c>
    </row>
    <row r="350" spans="1:24" x14ac:dyDescent="0.3">
      <c r="A350" s="2">
        <v>45317</v>
      </c>
      <c r="B350" s="1" t="s">
        <v>17</v>
      </c>
      <c r="C350" s="1" t="s">
        <v>18</v>
      </c>
      <c r="D350" s="1" t="s">
        <v>27</v>
      </c>
      <c r="E350" s="1" t="s">
        <v>28</v>
      </c>
      <c r="F350" s="1">
        <v>41</v>
      </c>
      <c r="G350" s="1" t="str" cm="1">
        <f t="array" ref="G350">_xlfn.IFS(F350&lt;=25,"YOUTH",F350&lt;=48,"ADULT",TRUE,"SENIOR")</f>
        <v>ADULT</v>
      </c>
      <c r="H350" s="1" t="s">
        <v>29</v>
      </c>
      <c r="I350" s="1" t="s">
        <v>22</v>
      </c>
      <c r="J350" s="1" t="s">
        <v>23</v>
      </c>
      <c r="K350" s="1" t="s">
        <v>39</v>
      </c>
      <c r="L350" s="1">
        <v>28624</v>
      </c>
      <c r="M350" s="3">
        <f t="shared" si="15"/>
        <v>0.1014533258803801</v>
      </c>
      <c r="N350" s="1">
        <v>2904</v>
      </c>
      <c r="O350" s="4">
        <f t="shared" si="16"/>
        <v>10.876404494382022</v>
      </c>
      <c r="P350" s="1">
        <v>267</v>
      </c>
      <c r="Q350" s="1">
        <v>2439.4135964358802</v>
      </c>
      <c r="R350" s="1">
        <v>13869.624072652299</v>
      </c>
      <c r="S350" s="5">
        <f t="shared" si="17"/>
        <v>13868.624072652299</v>
      </c>
      <c r="T350" s="1">
        <v>696</v>
      </c>
      <c r="U350" s="1">
        <v>74</v>
      </c>
      <c r="V350" s="1">
        <v>24</v>
      </c>
      <c r="W350" s="1">
        <v>4382</v>
      </c>
      <c r="X350" s="1">
        <v>0.90128611986101004</v>
      </c>
    </row>
    <row r="351" spans="1:24" x14ac:dyDescent="0.3">
      <c r="A351" s="2">
        <v>45326</v>
      </c>
      <c r="B351" s="1" t="s">
        <v>25</v>
      </c>
      <c r="C351" s="1" t="s">
        <v>41</v>
      </c>
      <c r="D351" s="1" t="s">
        <v>27</v>
      </c>
      <c r="E351" s="1" t="s">
        <v>20</v>
      </c>
      <c r="F351" s="1">
        <v>30</v>
      </c>
      <c r="G351" s="1" t="str" cm="1">
        <f t="array" ref="G351">_xlfn.IFS(F351&lt;=25,"YOUTH",F351&lt;=48,"ADULT",TRUE,"SENIOR")</f>
        <v>ADULT</v>
      </c>
      <c r="H351" s="1" t="s">
        <v>42</v>
      </c>
      <c r="I351" s="1" t="s">
        <v>33</v>
      </c>
      <c r="J351" s="1" t="s">
        <v>38</v>
      </c>
      <c r="K351" s="1" t="s">
        <v>39</v>
      </c>
      <c r="L351" s="1">
        <v>26964</v>
      </c>
      <c r="M351" s="3">
        <f t="shared" si="15"/>
        <v>1.984126984126984E-2</v>
      </c>
      <c r="N351" s="1">
        <v>535</v>
      </c>
      <c r="O351" s="4">
        <f t="shared" si="16"/>
        <v>7.9850746268656714</v>
      </c>
      <c r="P351" s="1">
        <v>67</v>
      </c>
      <c r="Q351" s="1">
        <v>1502.1475664239699</v>
      </c>
      <c r="R351" s="1">
        <v>3479.40207933292</v>
      </c>
      <c r="S351" s="5">
        <f t="shared" si="17"/>
        <v>3478.40207933292</v>
      </c>
      <c r="T351" s="1">
        <v>519</v>
      </c>
      <c r="U351" s="1">
        <v>41</v>
      </c>
      <c r="V351" s="1">
        <v>49</v>
      </c>
      <c r="W351" s="1">
        <v>1391</v>
      </c>
      <c r="X351" s="1">
        <v>0.55252761807859196</v>
      </c>
    </row>
    <row r="352" spans="1:24" x14ac:dyDescent="0.3">
      <c r="A352" s="2">
        <v>45325</v>
      </c>
      <c r="B352" s="1" t="s">
        <v>40</v>
      </c>
      <c r="C352" s="1" t="s">
        <v>41</v>
      </c>
      <c r="D352" s="1" t="s">
        <v>36</v>
      </c>
      <c r="E352" s="1" t="s">
        <v>28</v>
      </c>
      <c r="F352" s="1">
        <v>24</v>
      </c>
      <c r="G352" s="1" t="str" cm="1">
        <f t="array" ref="G352">_xlfn.IFS(F352&lt;=25,"YOUTH",F352&lt;=48,"ADULT",TRUE,"SENIOR")</f>
        <v>YOUTH</v>
      </c>
      <c r="H352" s="1" t="s">
        <v>21</v>
      </c>
      <c r="I352" s="1" t="s">
        <v>43</v>
      </c>
      <c r="J352" s="1" t="s">
        <v>23</v>
      </c>
      <c r="K352" s="1" t="s">
        <v>39</v>
      </c>
      <c r="L352" s="1">
        <v>23891</v>
      </c>
      <c r="M352" s="3">
        <f t="shared" si="15"/>
        <v>9.832154367753547E-2</v>
      </c>
      <c r="N352" s="1">
        <v>2349</v>
      </c>
      <c r="O352" s="4">
        <f t="shared" si="16"/>
        <v>13.5</v>
      </c>
      <c r="P352" s="1">
        <v>174</v>
      </c>
      <c r="Q352" s="1">
        <v>2492.40314728472</v>
      </c>
      <c r="R352" s="1">
        <v>8407.7779173674007</v>
      </c>
      <c r="S352" s="5">
        <f t="shared" si="17"/>
        <v>8406.7779173674007</v>
      </c>
      <c r="T352" s="1">
        <v>174</v>
      </c>
      <c r="U352" s="1">
        <v>19</v>
      </c>
      <c r="V352" s="1">
        <v>15</v>
      </c>
      <c r="W352" s="1">
        <v>2500</v>
      </c>
      <c r="X352" s="1">
        <v>0.51290419614083504</v>
      </c>
    </row>
    <row r="353" spans="1:24" x14ac:dyDescent="0.3">
      <c r="A353" s="2">
        <v>45326</v>
      </c>
      <c r="B353" s="1" t="s">
        <v>34</v>
      </c>
      <c r="C353" s="1" t="s">
        <v>26</v>
      </c>
      <c r="D353" s="1" t="s">
        <v>36</v>
      </c>
      <c r="E353" s="1" t="s">
        <v>28</v>
      </c>
      <c r="F353" s="1">
        <v>53</v>
      </c>
      <c r="G353" s="1" t="str" cm="1">
        <f t="array" ref="G353">_xlfn.IFS(F353&lt;=25,"YOUTH",F353&lt;=48,"ADULT",TRUE,"SENIOR")</f>
        <v>SENIOR</v>
      </c>
      <c r="H353" s="1" t="s">
        <v>29</v>
      </c>
      <c r="I353" s="1" t="s">
        <v>37</v>
      </c>
      <c r="J353" s="1" t="s">
        <v>23</v>
      </c>
      <c r="K353" s="1" t="s">
        <v>39</v>
      </c>
      <c r="L353" s="1">
        <v>39379</v>
      </c>
      <c r="M353" s="3">
        <f t="shared" si="15"/>
        <v>0.14345209375555498</v>
      </c>
      <c r="N353" s="1">
        <v>5649</v>
      </c>
      <c r="O353" s="4">
        <f t="shared" si="16"/>
        <v>6.087284482758621</v>
      </c>
      <c r="P353" s="1">
        <v>928</v>
      </c>
      <c r="Q353" s="1">
        <v>4481.40914454422</v>
      </c>
      <c r="R353" s="1">
        <v>12766.3372478688</v>
      </c>
      <c r="S353" s="5">
        <f t="shared" si="17"/>
        <v>12765.3372478688</v>
      </c>
      <c r="T353" s="1">
        <v>620</v>
      </c>
      <c r="U353" s="1">
        <v>88</v>
      </c>
      <c r="V353" s="1">
        <v>31</v>
      </c>
      <c r="W353" s="1">
        <v>6563</v>
      </c>
      <c r="X353" s="1">
        <v>0.60032316354957704</v>
      </c>
    </row>
    <row r="354" spans="1:24" x14ac:dyDescent="0.3">
      <c r="A354" s="2">
        <v>45331</v>
      </c>
      <c r="B354" s="1" t="s">
        <v>34</v>
      </c>
      <c r="C354" s="1" t="s">
        <v>41</v>
      </c>
      <c r="D354" s="1" t="s">
        <v>36</v>
      </c>
      <c r="E354" s="1" t="s">
        <v>20</v>
      </c>
      <c r="F354" s="1">
        <v>37</v>
      </c>
      <c r="G354" s="1" t="str" cm="1">
        <f t="array" ref="G354">_xlfn.IFS(F354&lt;=25,"YOUTH",F354&lt;=48,"ADULT",TRUE,"SENIOR")</f>
        <v>ADULT</v>
      </c>
      <c r="H354" s="1" t="s">
        <v>29</v>
      </c>
      <c r="I354" s="1" t="s">
        <v>22</v>
      </c>
      <c r="J354" s="1" t="s">
        <v>23</v>
      </c>
      <c r="K354" s="1" t="s">
        <v>39</v>
      </c>
      <c r="L354" s="1">
        <v>13516</v>
      </c>
      <c r="M354" s="3">
        <f t="shared" si="15"/>
        <v>8.5676235572654635E-2</v>
      </c>
      <c r="N354" s="1">
        <v>1158</v>
      </c>
      <c r="O354" s="4">
        <f t="shared" si="16"/>
        <v>11.242718446601941</v>
      </c>
      <c r="P354" s="1">
        <v>103</v>
      </c>
      <c r="Q354" s="1">
        <v>1786.43857702231</v>
      </c>
      <c r="R354" s="1">
        <v>3246.5029818288799</v>
      </c>
      <c r="S354" s="5">
        <f t="shared" si="17"/>
        <v>3245.5029818288799</v>
      </c>
      <c r="T354" s="1">
        <v>265</v>
      </c>
      <c r="U354" s="1">
        <v>21</v>
      </c>
      <c r="V354" s="1">
        <v>18</v>
      </c>
      <c r="W354" s="1">
        <v>2231</v>
      </c>
      <c r="X354" s="1">
        <v>0.75758592140617098</v>
      </c>
    </row>
    <row r="355" spans="1:24" x14ac:dyDescent="0.3">
      <c r="A355" s="2">
        <v>45307</v>
      </c>
      <c r="B355" s="1" t="s">
        <v>40</v>
      </c>
      <c r="C355" s="1" t="s">
        <v>35</v>
      </c>
      <c r="D355" s="1" t="s">
        <v>32</v>
      </c>
      <c r="E355" s="1" t="s">
        <v>20</v>
      </c>
      <c r="F355" s="1">
        <v>18</v>
      </c>
      <c r="G355" s="1" t="str" cm="1">
        <f t="array" ref="G355">_xlfn.IFS(F355&lt;=25,"YOUTH",F355&lt;=48,"ADULT",TRUE,"SENIOR")</f>
        <v>YOUTH</v>
      </c>
      <c r="H355" s="1" t="s">
        <v>29</v>
      </c>
      <c r="I355" s="1" t="s">
        <v>43</v>
      </c>
      <c r="J355" s="1" t="s">
        <v>23</v>
      </c>
      <c r="K355" s="1" t="s">
        <v>31</v>
      </c>
      <c r="L355" s="1">
        <v>14886</v>
      </c>
      <c r="M355" s="3">
        <f t="shared" si="15"/>
        <v>0.11010345290877334</v>
      </c>
      <c r="N355" s="1">
        <v>1639</v>
      </c>
      <c r="O355" s="4">
        <f t="shared" si="16"/>
        <v>4.1284634760705288</v>
      </c>
      <c r="P355" s="1">
        <v>397</v>
      </c>
      <c r="Q355" s="1">
        <v>1217.7359937189401</v>
      </c>
      <c r="R355" s="1">
        <v>4739.8471084083303</v>
      </c>
      <c r="S355" s="5">
        <f t="shared" si="17"/>
        <v>4738.8471084083303</v>
      </c>
      <c r="T355" s="1">
        <v>412</v>
      </c>
      <c r="U355" s="1">
        <v>38</v>
      </c>
      <c r="V355" s="1">
        <v>39</v>
      </c>
      <c r="W355" s="1">
        <v>2395</v>
      </c>
      <c r="X355" s="1">
        <v>0.87392289240697796</v>
      </c>
    </row>
    <row r="356" spans="1:24" x14ac:dyDescent="0.3">
      <c r="A356" s="2">
        <v>45329</v>
      </c>
      <c r="B356" s="1" t="s">
        <v>34</v>
      </c>
      <c r="C356" s="1" t="s">
        <v>35</v>
      </c>
      <c r="D356" s="1" t="s">
        <v>19</v>
      </c>
      <c r="E356" s="1" t="s">
        <v>20</v>
      </c>
      <c r="F356" s="1">
        <v>25</v>
      </c>
      <c r="G356" s="1" t="str" cm="1">
        <f t="array" ref="G356">_xlfn.IFS(F356&lt;=25,"YOUTH",F356&lt;=48,"ADULT",TRUE,"SENIOR")</f>
        <v>YOUTH</v>
      </c>
      <c r="H356" s="1" t="s">
        <v>21</v>
      </c>
      <c r="I356" s="1" t="s">
        <v>37</v>
      </c>
      <c r="J356" s="1" t="s">
        <v>38</v>
      </c>
      <c r="K356" s="1" t="s">
        <v>31</v>
      </c>
      <c r="L356" s="1">
        <v>21307</v>
      </c>
      <c r="M356" s="3">
        <f t="shared" si="15"/>
        <v>8.7905383207396631E-2</v>
      </c>
      <c r="N356" s="1">
        <v>1873</v>
      </c>
      <c r="O356" s="4">
        <f t="shared" si="16"/>
        <v>5.5088235294117647</v>
      </c>
      <c r="P356" s="1">
        <v>340</v>
      </c>
      <c r="Q356" s="1">
        <v>3180.6772447632902</v>
      </c>
      <c r="R356" s="1">
        <v>19747.313140436199</v>
      </c>
      <c r="S356" s="5">
        <f t="shared" si="17"/>
        <v>19746.313140436199</v>
      </c>
      <c r="T356" s="1">
        <v>206</v>
      </c>
      <c r="U356" s="1">
        <v>36</v>
      </c>
      <c r="V356" s="1">
        <v>7</v>
      </c>
      <c r="W356" s="1">
        <v>3547</v>
      </c>
      <c r="X356" s="1">
        <v>0.47264333029102401</v>
      </c>
    </row>
    <row r="357" spans="1:24" x14ac:dyDescent="0.3">
      <c r="A357" s="2">
        <v>45304</v>
      </c>
      <c r="B357" s="1" t="s">
        <v>34</v>
      </c>
      <c r="C357" s="1" t="s">
        <v>26</v>
      </c>
      <c r="D357" s="1" t="s">
        <v>27</v>
      </c>
      <c r="E357" s="1" t="s">
        <v>20</v>
      </c>
      <c r="F357" s="1">
        <v>33</v>
      </c>
      <c r="G357" s="1" t="str" cm="1">
        <f t="array" ref="G357">_xlfn.IFS(F357&lt;=25,"YOUTH",F357&lt;=48,"ADULT",TRUE,"SENIOR")</f>
        <v>ADULT</v>
      </c>
      <c r="H357" s="1" t="s">
        <v>29</v>
      </c>
      <c r="I357" s="1" t="s">
        <v>43</v>
      </c>
      <c r="J357" s="1" t="s">
        <v>38</v>
      </c>
      <c r="K357" s="1" t="s">
        <v>31</v>
      </c>
      <c r="L357" s="1">
        <v>25843</v>
      </c>
      <c r="M357" s="3">
        <f t="shared" si="15"/>
        <v>0.12962891305189025</v>
      </c>
      <c r="N357" s="1">
        <v>3350</v>
      </c>
      <c r="O357" s="4">
        <f t="shared" si="16"/>
        <v>19.476744186046513</v>
      </c>
      <c r="P357" s="1">
        <v>172</v>
      </c>
      <c r="Q357" s="1">
        <v>3809.2115261806898</v>
      </c>
      <c r="R357" s="1">
        <v>8184.8245607291301</v>
      </c>
      <c r="S357" s="5">
        <f t="shared" si="17"/>
        <v>8183.8245607291301</v>
      </c>
      <c r="T357" s="1">
        <v>649</v>
      </c>
      <c r="U357" s="1">
        <v>129</v>
      </c>
      <c r="V357" s="1">
        <v>16</v>
      </c>
      <c r="W357" s="1">
        <v>1296</v>
      </c>
      <c r="X357" s="1">
        <v>0.84759119749308898</v>
      </c>
    </row>
    <row r="358" spans="1:24" x14ac:dyDescent="0.3">
      <c r="A358" s="2">
        <v>45314</v>
      </c>
      <c r="B358" s="1" t="s">
        <v>17</v>
      </c>
      <c r="C358" s="1" t="s">
        <v>26</v>
      </c>
      <c r="D358" s="1" t="s">
        <v>32</v>
      </c>
      <c r="E358" s="1" t="s">
        <v>20</v>
      </c>
      <c r="F358" s="1">
        <v>31</v>
      </c>
      <c r="G358" s="1" t="str" cm="1">
        <f t="array" ref="G358">_xlfn.IFS(F358&lt;=25,"YOUTH",F358&lt;=48,"ADULT",TRUE,"SENIOR")</f>
        <v>ADULT</v>
      </c>
      <c r="H358" s="1" t="s">
        <v>21</v>
      </c>
      <c r="I358" s="1" t="s">
        <v>43</v>
      </c>
      <c r="J358" s="1" t="s">
        <v>23</v>
      </c>
      <c r="K358" s="1" t="s">
        <v>31</v>
      </c>
      <c r="L358" s="1">
        <v>47484</v>
      </c>
      <c r="M358" s="3">
        <f t="shared" si="15"/>
        <v>0.14013141268637858</v>
      </c>
      <c r="N358" s="1">
        <v>6654</v>
      </c>
      <c r="O358" s="4">
        <f t="shared" si="16"/>
        <v>8.6415584415584412</v>
      </c>
      <c r="P358" s="1">
        <v>770</v>
      </c>
      <c r="Q358" s="1">
        <v>6395.2246169999999</v>
      </c>
      <c r="R358" s="1">
        <v>29235.5570352293</v>
      </c>
      <c r="S358" s="5">
        <f t="shared" si="17"/>
        <v>29234.5570352293</v>
      </c>
      <c r="T358" s="1">
        <v>392</v>
      </c>
      <c r="U358" s="1">
        <v>38</v>
      </c>
      <c r="V358" s="1">
        <v>24</v>
      </c>
      <c r="W358" s="1">
        <v>4825</v>
      </c>
      <c r="X358" s="1">
        <v>0.84705286706794702</v>
      </c>
    </row>
    <row r="359" spans="1:24" x14ac:dyDescent="0.3">
      <c r="A359" s="2">
        <v>45351</v>
      </c>
      <c r="B359" s="1" t="s">
        <v>40</v>
      </c>
      <c r="C359" s="1" t="s">
        <v>26</v>
      </c>
      <c r="D359" s="1" t="s">
        <v>36</v>
      </c>
      <c r="E359" s="1" t="s">
        <v>20</v>
      </c>
      <c r="F359" s="1">
        <v>29</v>
      </c>
      <c r="G359" s="1" t="str" cm="1">
        <f t="array" ref="G359">_xlfn.IFS(F359&lt;=25,"YOUTH",F359&lt;=48,"ADULT",TRUE,"SENIOR")</f>
        <v>ADULT</v>
      </c>
      <c r="H359" s="1" t="s">
        <v>42</v>
      </c>
      <c r="I359" s="1" t="s">
        <v>43</v>
      </c>
      <c r="J359" s="1" t="s">
        <v>23</v>
      </c>
      <c r="K359" s="1" t="s">
        <v>39</v>
      </c>
      <c r="L359" s="1">
        <v>6912</v>
      </c>
      <c r="M359" s="3">
        <f t="shared" si="15"/>
        <v>3.5734953703703706E-2</v>
      </c>
      <c r="N359" s="1">
        <v>247</v>
      </c>
      <c r="O359" s="4">
        <f t="shared" si="16"/>
        <v>9.5</v>
      </c>
      <c r="P359" s="1">
        <v>26</v>
      </c>
      <c r="Q359" s="1">
        <v>654.79473356923597</v>
      </c>
      <c r="R359" s="1">
        <v>709.69615528600798</v>
      </c>
      <c r="S359" s="5">
        <f t="shared" si="17"/>
        <v>708.69615528600798</v>
      </c>
      <c r="T359" s="1">
        <v>76</v>
      </c>
      <c r="U359" s="1">
        <v>5</v>
      </c>
      <c r="V359" s="1">
        <v>2</v>
      </c>
      <c r="W359" s="1">
        <v>705</v>
      </c>
      <c r="X359" s="1">
        <v>0.72280564612454701</v>
      </c>
    </row>
    <row r="360" spans="1:24" x14ac:dyDescent="0.3">
      <c r="A360" s="2">
        <v>45345</v>
      </c>
      <c r="B360" s="1" t="s">
        <v>17</v>
      </c>
      <c r="C360" s="1" t="s">
        <v>26</v>
      </c>
      <c r="D360" s="1" t="s">
        <v>36</v>
      </c>
      <c r="E360" s="1" t="s">
        <v>20</v>
      </c>
      <c r="F360" s="1">
        <v>40</v>
      </c>
      <c r="G360" s="1" t="str" cm="1">
        <f t="array" ref="G360">_xlfn.IFS(F360&lt;=25,"YOUTH",F360&lt;=48,"ADULT",TRUE,"SENIOR")</f>
        <v>ADULT</v>
      </c>
      <c r="H360" s="1" t="s">
        <v>29</v>
      </c>
      <c r="I360" s="1" t="s">
        <v>22</v>
      </c>
      <c r="J360" s="1" t="s">
        <v>23</v>
      </c>
      <c r="K360" s="1" t="s">
        <v>31</v>
      </c>
      <c r="L360" s="1">
        <v>22514</v>
      </c>
      <c r="M360" s="3">
        <f t="shared" si="15"/>
        <v>7.115572532646354E-2</v>
      </c>
      <c r="N360" s="1">
        <v>1602</v>
      </c>
      <c r="O360" s="4">
        <f t="shared" si="16"/>
        <v>7.0263157894736841</v>
      </c>
      <c r="P360" s="1">
        <v>228</v>
      </c>
      <c r="Q360" s="1">
        <v>1615.17320141491</v>
      </c>
      <c r="R360" s="1">
        <v>3870.5772120074998</v>
      </c>
      <c r="S360" s="5">
        <f t="shared" si="17"/>
        <v>3869.5772120074998</v>
      </c>
      <c r="T360" s="1">
        <v>249</v>
      </c>
      <c r="U360" s="1">
        <v>42</v>
      </c>
      <c r="V360" s="1">
        <v>8</v>
      </c>
      <c r="W360" s="1">
        <v>4034</v>
      </c>
      <c r="X360" s="1">
        <v>0.81835636676791401</v>
      </c>
    </row>
    <row r="361" spans="1:24" x14ac:dyDescent="0.3">
      <c r="A361" s="2">
        <v>45313</v>
      </c>
      <c r="B361" s="1" t="s">
        <v>17</v>
      </c>
      <c r="C361" s="1" t="s">
        <v>26</v>
      </c>
      <c r="D361" s="1" t="s">
        <v>19</v>
      </c>
      <c r="E361" s="1" t="s">
        <v>28</v>
      </c>
      <c r="F361" s="1">
        <v>32</v>
      </c>
      <c r="G361" s="1" t="str" cm="1">
        <f t="array" ref="G361">_xlfn.IFS(F361&lt;=25,"YOUTH",F361&lt;=48,"ADULT",TRUE,"SENIOR")</f>
        <v>ADULT</v>
      </c>
      <c r="H361" s="1" t="s">
        <v>21</v>
      </c>
      <c r="I361" s="1" t="s">
        <v>37</v>
      </c>
      <c r="J361" s="1" t="s">
        <v>38</v>
      </c>
      <c r="K361" s="1" t="s">
        <v>31</v>
      </c>
      <c r="L361" s="1">
        <v>22823</v>
      </c>
      <c r="M361" s="3">
        <f t="shared" si="15"/>
        <v>6.4890680453928054E-2</v>
      </c>
      <c r="N361" s="1">
        <v>1481</v>
      </c>
      <c r="O361" s="4">
        <f t="shared" si="16"/>
        <v>4.6867088607594933</v>
      </c>
      <c r="P361" s="1">
        <v>316</v>
      </c>
      <c r="Q361" s="1">
        <v>1537.59053832164</v>
      </c>
      <c r="R361" s="1">
        <v>3766.4334746320301</v>
      </c>
      <c r="S361" s="5">
        <f t="shared" si="17"/>
        <v>3765.4334746320301</v>
      </c>
      <c r="T361" s="1">
        <v>614</v>
      </c>
      <c r="U361" s="1">
        <v>86</v>
      </c>
      <c r="V361" s="1">
        <v>56</v>
      </c>
      <c r="W361" s="1">
        <v>1515</v>
      </c>
      <c r="X361" s="1">
        <v>0.50003438398337297</v>
      </c>
    </row>
    <row r="362" spans="1:24" x14ac:dyDescent="0.3">
      <c r="A362" s="2">
        <v>45307</v>
      </c>
      <c r="B362" s="1" t="s">
        <v>34</v>
      </c>
      <c r="C362" s="1" t="s">
        <v>41</v>
      </c>
      <c r="D362" s="1" t="s">
        <v>36</v>
      </c>
      <c r="E362" s="1" t="s">
        <v>28</v>
      </c>
      <c r="F362" s="1">
        <v>45</v>
      </c>
      <c r="G362" s="1" t="str" cm="1">
        <f t="array" ref="G362">_xlfn.IFS(F362&lt;=25,"YOUTH",F362&lt;=48,"ADULT",TRUE,"SENIOR")</f>
        <v>ADULT</v>
      </c>
      <c r="H362" s="1" t="s">
        <v>42</v>
      </c>
      <c r="I362" s="1" t="s">
        <v>33</v>
      </c>
      <c r="J362" s="1" t="s">
        <v>23</v>
      </c>
      <c r="K362" s="1" t="s">
        <v>31</v>
      </c>
      <c r="L362" s="1">
        <v>29797</v>
      </c>
      <c r="M362" s="3">
        <f t="shared" si="15"/>
        <v>6.6718125985837498E-2</v>
      </c>
      <c r="N362" s="1">
        <v>1988</v>
      </c>
      <c r="O362" s="4">
        <f t="shared" si="16"/>
        <v>6.4967320261437909</v>
      </c>
      <c r="P362" s="1">
        <v>306</v>
      </c>
      <c r="Q362" s="1">
        <v>642.90655318738902</v>
      </c>
      <c r="R362" s="1">
        <v>20808.1956839089</v>
      </c>
      <c r="S362" s="5">
        <f t="shared" si="17"/>
        <v>20807.1956839089</v>
      </c>
      <c r="T362" s="1">
        <v>297</v>
      </c>
      <c r="U362" s="1">
        <v>19</v>
      </c>
      <c r="V362" s="1">
        <v>6</v>
      </c>
      <c r="W362" s="1">
        <v>5571</v>
      </c>
      <c r="X362" s="1">
        <v>0.49327230045139198</v>
      </c>
    </row>
    <row r="363" spans="1:24" x14ac:dyDescent="0.3">
      <c r="A363" s="2">
        <v>45319</v>
      </c>
      <c r="B363" s="1" t="s">
        <v>34</v>
      </c>
      <c r="C363" s="1" t="s">
        <v>26</v>
      </c>
      <c r="D363" s="1" t="s">
        <v>32</v>
      </c>
      <c r="E363" s="1" t="s">
        <v>20</v>
      </c>
      <c r="F363" s="1">
        <v>51</v>
      </c>
      <c r="G363" s="1" t="str" cm="1">
        <f t="array" ref="G363">_xlfn.IFS(F363&lt;=25,"YOUTH",F363&lt;=48,"ADULT",TRUE,"SENIOR")</f>
        <v>SENIOR</v>
      </c>
      <c r="H363" s="1" t="s">
        <v>29</v>
      </c>
      <c r="I363" s="1" t="s">
        <v>22</v>
      </c>
      <c r="J363" s="1" t="s">
        <v>23</v>
      </c>
      <c r="K363" s="1" t="s">
        <v>24</v>
      </c>
      <c r="L363" s="1">
        <v>7449</v>
      </c>
      <c r="M363" s="3">
        <f t="shared" si="15"/>
        <v>2.7520472546650559E-2</v>
      </c>
      <c r="N363" s="1">
        <v>205</v>
      </c>
      <c r="O363" s="4">
        <f t="shared" si="16"/>
        <v>29.285714285714285</v>
      </c>
      <c r="P363" s="1">
        <v>7</v>
      </c>
      <c r="Q363" s="1">
        <v>390.27310789459</v>
      </c>
      <c r="R363" s="1">
        <v>125.84013208998999</v>
      </c>
      <c r="S363" s="5">
        <f t="shared" si="17"/>
        <v>124.84013208998999</v>
      </c>
      <c r="T363" s="1">
        <v>183</v>
      </c>
      <c r="U363" s="1">
        <v>35</v>
      </c>
      <c r="V363" s="1">
        <v>15</v>
      </c>
      <c r="W363" s="1">
        <v>712</v>
      </c>
      <c r="X363" s="1">
        <v>0.87454001877079901</v>
      </c>
    </row>
    <row r="364" spans="1:24" x14ac:dyDescent="0.3">
      <c r="A364" s="2">
        <v>45339</v>
      </c>
      <c r="B364" s="1" t="s">
        <v>40</v>
      </c>
      <c r="C364" s="1" t="s">
        <v>41</v>
      </c>
      <c r="D364" s="1" t="s">
        <v>32</v>
      </c>
      <c r="E364" s="1" t="s">
        <v>28</v>
      </c>
      <c r="F364" s="1">
        <v>19</v>
      </c>
      <c r="G364" s="1" t="str" cm="1">
        <f t="array" ref="G364">_xlfn.IFS(F364&lt;=25,"YOUTH",F364&lt;=48,"ADULT",TRUE,"SENIOR")</f>
        <v>YOUTH</v>
      </c>
      <c r="H364" s="1" t="s">
        <v>21</v>
      </c>
      <c r="I364" s="1" t="s">
        <v>22</v>
      </c>
      <c r="J364" s="1" t="s">
        <v>23</v>
      </c>
      <c r="K364" s="1" t="s">
        <v>24</v>
      </c>
      <c r="L364" s="1">
        <v>2725</v>
      </c>
      <c r="M364" s="3">
        <f t="shared" si="15"/>
        <v>0.1236697247706422</v>
      </c>
      <c r="N364" s="1">
        <v>337</v>
      </c>
      <c r="O364" s="4">
        <f t="shared" si="16"/>
        <v>5.9122807017543861</v>
      </c>
      <c r="P364" s="1">
        <v>57</v>
      </c>
      <c r="Q364" s="1">
        <v>309.13781723074101</v>
      </c>
      <c r="R364" s="1">
        <v>506.83549200273302</v>
      </c>
      <c r="S364" s="5">
        <f t="shared" si="17"/>
        <v>505.83549200273302</v>
      </c>
      <c r="T364" s="1">
        <v>45</v>
      </c>
      <c r="U364" s="1">
        <v>2</v>
      </c>
      <c r="V364" s="1">
        <v>2</v>
      </c>
      <c r="W364" s="1">
        <v>374</v>
      </c>
      <c r="X364" s="1">
        <v>0.67398164047901099</v>
      </c>
    </row>
    <row r="365" spans="1:24" x14ac:dyDescent="0.3">
      <c r="A365" s="2">
        <v>45326</v>
      </c>
      <c r="B365" s="1" t="s">
        <v>34</v>
      </c>
      <c r="C365" s="1" t="s">
        <v>18</v>
      </c>
      <c r="D365" s="1" t="s">
        <v>19</v>
      </c>
      <c r="E365" s="1" t="s">
        <v>28</v>
      </c>
      <c r="F365" s="1">
        <v>49</v>
      </c>
      <c r="G365" s="1" t="str" cm="1">
        <f t="array" ref="G365">_xlfn.IFS(F365&lt;=25,"YOUTH",F365&lt;=48,"ADULT",TRUE,"SENIOR")</f>
        <v>SENIOR</v>
      </c>
      <c r="H365" s="1" t="s">
        <v>21</v>
      </c>
      <c r="I365" s="1" t="s">
        <v>22</v>
      </c>
      <c r="J365" s="1" t="s">
        <v>23</v>
      </c>
      <c r="K365" s="1" t="s">
        <v>39</v>
      </c>
      <c r="L365" s="1">
        <v>16870</v>
      </c>
      <c r="M365" s="3">
        <f t="shared" si="15"/>
        <v>1.4997036158861885E-2</v>
      </c>
      <c r="N365" s="1">
        <v>253</v>
      </c>
      <c r="O365" s="4">
        <f t="shared" si="16"/>
        <v>50.6</v>
      </c>
      <c r="P365" s="1">
        <v>5</v>
      </c>
      <c r="Q365" s="1">
        <v>1661.2255582754799</v>
      </c>
      <c r="R365" s="1">
        <v>337.54170095931102</v>
      </c>
      <c r="S365" s="5">
        <f t="shared" si="17"/>
        <v>336.54170095931102</v>
      </c>
      <c r="T365" s="1">
        <v>505</v>
      </c>
      <c r="U365" s="1">
        <v>72</v>
      </c>
      <c r="V365" s="1">
        <v>32</v>
      </c>
      <c r="W365" s="1">
        <v>1030</v>
      </c>
      <c r="X365" s="1">
        <v>0.53526546799999997</v>
      </c>
    </row>
    <row r="366" spans="1:24" x14ac:dyDescent="0.3">
      <c r="A366" s="2">
        <v>45351</v>
      </c>
      <c r="B366" s="1" t="s">
        <v>34</v>
      </c>
      <c r="C366" s="1" t="s">
        <v>26</v>
      </c>
      <c r="D366" s="1" t="s">
        <v>32</v>
      </c>
      <c r="E366" s="1" t="s">
        <v>20</v>
      </c>
      <c r="F366" s="1">
        <v>40</v>
      </c>
      <c r="G366" s="1" t="str" cm="1">
        <f t="array" ref="G366">_xlfn.IFS(F366&lt;=25,"YOUTH",F366&lt;=48,"ADULT",TRUE,"SENIOR")</f>
        <v>ADULT</v>
      </c>
      <c r="H366" s="1" t="s">
        <v>42</v>
      </c>
      <c r="I366" s="1" t="s">
        <v>33</v>
      </c>
      <c r="J366" s="1" t="s">
        <v>38</v>
      </c>
      <c r="K366" s="1" t="s">
        <v>24</v>
      </c>
      <c r="L366" s="1">
        <v>10304</v>
      </c>
      <c r="M366" s="3">
        <f t="shared" si="15"/>
        <v>8.3947981366459631E-2</v>
      </c>
      <c r="N366" s="1">
        <v>865</v>
      </c>
      <c r="O366" s="4">
        <f t="shared" si="16"/>
        <v>5.0290697674418601</v>
      </c>
      <c r="P366" s="1">
        <v>172</v>
      </c>
      <c r="Q366" s="1">
        <v>1433.64585083369</v>
      </c>
      <c r="R366" s="1">
        <v>6997.2804683804998</v>
      </c>
      <c r="S366" s="5">
        <f t="shared" si="17"/>
        <v>6996.2804683804998</v>
      </c>
      <c r="T366" s="1">
        <v>267</v>
      </c>
      <c r="U366" s="1">
        <v>30</v>
      </c>
      <c r="V366" s="1">
        <v>19</v>
      </c>
      <c r="W366" s="1">
        <v>906</v>
      </c>
      <c r="X366" s="1">
        <v>0.77880169668347798</v>
      </c>
    </row>
    <row r="367" spans="1:24" x14ac:dyDescent="0.3">
      <c r="A367" s="2">
        <v>45336</v>
      </c>
      <c r="B367" s="1" t="s">
        <v>40</v>
      </c>
      <c r="C367" s="1" t="s">
        <v>26</v>
      </c>
      <c r="D367" s="1" t="s">
        <v>27</v>
      </c>
      <c r="E367" s="1" t="s">
        <v>28</v>
      </c>
      <c r="F367" s="1">
        <v>39</v>
      </c>
      <c r="G367" s="1" t="str" cm="1">
        <f t="array" ref="G367">_xlfn.IFS(F367&lt;=25,"YOUTH",F367&lt;=48,"ADULT",TRUE,"SENIOR")</f>
        <v>ADULT</v>
      </c>
      <c r="H367" s="1" t="s">
        <v>21</v>
      </c>
      <c r="I367" s="1" t="s">
        <v>37</v>
      </c>
      <c r="J367" s="1" t="s">
        <v>23</v>
      </c>
      <c r="K367" s="1" t="s">
        <v>39</v>
      </c>
      <c r="L367" s="1">
        <v>8522</v>
      </c>
      <c r="M367" s="3">
        <f t="shared" si="15"/>
        <v>0.10255808495658296</v>
      </c>
      <c r="N367" s="1">
        <v>874</v>
      </c>
      <c r="O367" s="4">
        <f t="shared" si="16"/>
        <v>5.7880794701986753</v>
      </c>
      <c r="P367" s="1">
        <v>151</v>
      </c>
      <c r="Q367" s="1">
        <v>225.857668626177</v>
      </c>
      <c r="R367" s="1">
        <v>8574.1858539380592</v>
      </c>
      <c r="S367" s="5">
        <f t="shared" si="17"/>
        <v>8573.1858539380592</v>
      </c>
      <c r="T367" s="1">
        <v>200</v>
      </c>
      <c r="U367" s="1">
        <v>26</v>
      </c>
      <c r="V367" s="1">
        <v>10</v>
      </c>
      <c r="W367" s="1">
        <v>1234</v>
      </c>
      <c r="X367" s="1">
        <v>0.89053134181382099</v>
      </c>
    </row>
    <row r="368" spans="1:24" x14ac:dyDescent="0.3">
      <c r="A368" s="2">
        <v>45337</v>
      </c>
      <c r="B368" s="1" t="s">
        <v>34</v>
      </c>
      <c r="C368" s="1" t="s">
        <v>41</v>
      </c>
      <c r="D368" s="1" t="s">
        <v>32</v>
      </c>
      <c r="E368" s="1" t="s">
        <v>20</v>
      </c>
      <c r="F368" s="1">
        <v>42</v>
      </c>
      <c r="G368" s="1" t="str" cm="1">
        <f t="array" ref="G368">_xlfn.IFS(F368&lt;=25,"YOUTH",F368&lt;=48,"ADULT",TRUE,"SENIOR")</f>
        <v>ADULT</v>
      </c>
      <c r="H368" s="1" t="s">
        <v>21</v>
      </c>
      <c r="I368" s="1" t="s">
        <v>37</v>
      </c>
      <c r="J368" s="1" t="s">
        <v>23</v>
      </c>
      <c r="K368" s="1" t="s">
        <v>39</v>
      </c>
      <c r="L368" s="1">
        <v>14663</v>
      </c>
      <c r="M368" s="3">
        <f t="shared" si="15"/>
        <v>3.900975243810953E-2</v>
      </c>
      <c r="N368" s="1">
        <v>572</v>
      </c>
      <c r="O368" s="4">
        <f t="shared" si="16"/>
        <v>11</v>
      </c>
      <c r="P368" s="1">
        <v>52</v>
      </c>
      <c r="Q368" s="1">
        <v>589.24670821059499</v>
      </c>
      <c r="R368" s="1">
        <v>407.92856353031601</v>
      </c>
      <c r="S368" s="5">
        <f t="shared" si="17"/>
        <v>406.92856353031601</v>
      </c>
      <c r="T368" s="1">
        <v>392</v>
      </c>
      <c r="U368" s="1">
        <v>32</v>
      </c>
      <c r="V368" s="1">
        <v>11</v>
      </c>
      <c r="W368" s="1">
        <v>1575</v>
      </c>
      <c r="X368" s="1">
        <v>0.74777745526933703</v>
      </c>
    </row>
    <row r="369" spans="1:24" x14ac:dyDescent="0.3">
      <c r="A369" s="2">
        <v>45299</v>
      </c>
      <c r="B369" s="1" t="s">
        <v>17</v>
      </c>
      <c r="C369" s="1" t="s">
        <v>18</v>
      </c>
      <c r="D369" s="1" t="s">
        <v>32</v>
      </c>
      <c r="E369" s="1" t="s">
        <v>28</v>
      </c>
      <c r="F369" s="1">
        <v>39</v>
      </c>
      <c r="G369" s="1" t="str" cm="1">
        <f t="array" ref="G369">_xlfn.IFS(F369&lt;=25,"YOUTH",F369&lt;=48,"ADULT",TRUE,"SENIOR")</f>
        <v>ADULT</v>
      </c>
      <c r="H369" s="1" t="s">
        <v>21</v>
      </c>
      <c r="I369" s="1" t="s">
        <v>37</v>
      </c>
      <c r="J369" s="1" t="s">
        <v>23</v>
      </c>
      <c r="K369" s="1" t="s">
        <v>31</v>
      </c>
      <c r="L369" s="1">
        <v>5784</v>
      </c>
      <c r="M369" s="3">
        <f t="shared" si="15"/>
        <v>0.13675656984785617</v>
      </c>
      <c r="N369" s="1">
        <v>791</v>
      </c>
      <c r="O369" s="4">
        <f t="shared" si="16"/>
        <v>11.463768115942029</v>
      </c>
      <c r="P369" s="1">
        <v>69</v>
      </c>
      <c r="Q369" s="1">
        <v>709.128190089653</v>
      </c>
      <c r="R369" s="1">
        <v>2887.7521707962501</v>
      </c>
      <c r="S369" s="5">
        <f t="shared" si="17"/>
        <v>2886.7521707962501</v>
      </c>
      <c r="T369" s="1">
        <v>120</v>
      </c>
      <c r="U369" s="1">
        <v>18</v>
      </c>
      <c r="V369" s="1">
        <v>3</v>
      </c>
      <c r="W369" s="1">
        <v>1080</v>
      </c>
      <c r="X369" s="1">
        <v>0.59103977361700899</v>
      </c>
    </row>
    <row r="370" spans="1:24" x14ac:dyDescent="0.3">
      <c r="A370" s="2">
        <v>45335</v>
      </c>
      <c r="B370" s="1" t="s">
        <v>40</v>
      </c>
      <c r="C370" s="1" t="s">
        <v>41</v>
      </c>
      <c r="D370" s="1" t="s">
        <v>32</v>
      </c>
      <c r="E370" s="1" t="s">
        <v>20</v>
      </c>
      <c r="F370" s="1">
        <v>39</v>
      </c>
      <c r="G370" s="1" t="str" cm="1">
        <f t="array" ref="G370">_xlfn.IFS(F370&lt;=25,"YOUTH",F370&lt;=48,"ADULT",TRUE,"SENIOR")</f>
        <v>ADULT</v>
      </c>
      <c r="H370" s="1" t="s">
        <v>21</v>
      </c>
      <c r="I370" s="1" t="s">
        <v>43</v>
      </c>
      <c r="J370" s="1" t="s">
        <v>30</v>
      </c>
      <c r="K370" s="1" t="s">
        <v>39</v>
      </c>
      <c r="L370" s="1">
        <v>10472</v>
      </c>
      <c r="M370" s="3">
        <f t="shared" si="15"/>
        <v>0.12738731856378915</v>
      </c>
      <c r="N370" s="1">
        <v>1334</v>
      </c>
      <c r="O370" s="4">
        <f t="shared" si="16"/>
        <v>4.9225092250922513</v>
      </c>
      <c r="P370" s="1">
        <v>271</v>
      </c>
      <c r="Q370" s="1">
        <v>697.49794880407899</v>
      </c>
      <c r="R370" s="1">
        <v>8369.4685179384796</v>
      </c>
      <c r="S370" s="5">
        <f t="shared" si="17"/>
        <v>8368.4685179384796</v>
      </c>
      <c r="T370" s="1">
        <v>273</v>
      </c>
      <c r="U370" s="1">
        <v>52</v>
      </c>
      <c r="V370" s="1">
        <v>21</v>
      </c>
      <c r="W370" s="1">
        <v>1571</v>
      </c>
      <c r="X370" s="1">
        <v>0.66578077091115795</v>
      </c>
    </row>
    <row r="371" spans="1:24" x14ac:dyDescent="0.3">
      <c r="A371" s="2">
        <v>45346</v>
      </c>
      <c r="B371" s="1" t="s">
        <v>34</v>
      </c>
      <c r="C371" s="1" t="s">
        <v>41</v>
      </c>
      <c r="D371" s="1" t="s">
        <v>27</v>
      </c>
      <c r="E371" s="1" t="s">
        <v>28</v>
      </c>
      <c r="F371" s="1">
        <v>59</v>
      </c>
      <c r="G371" s="1" t="str" cm="1">
        <f t="array" ref="G371">_xlfn.IFS(F371&lt;=25,"YOUTH",F371&lt;=48,"ADULT",TRUE,"SENIOR")</f>
        <v>SENIOR</v>
      </c>
      <c r="H371" s="1" t="s">
        <v>21</v>
      </c>
      <c r="I371" s="1" t="s">
        <v>43</v>
      </c>
      <c r="J371" s="1" t="s">
        <v>23</v>
      </c>
      <c r="K371" s="1" t="s">
        <v>39</v>
      </c>
      <c r="L371" s="1">
        <v>29952</v>
      </c>
      <c r="M371" s="3">
        <f t="shared" si="15"/>
        <v>7.5921474358974353E-2</v>
      </c>
      <c r="N371" s="1">
        <v>2274</v>
      </c>
      <c r="O371" s="4">
        <f t="shared" si="16"/>
        <v>4.9978021978021978</v>
      </c>
      <c r="P371" s="1">
        <v>455</v>
      </c>
      <c r="Q371" s="1">
        <v>1059.84832661732</v>
      </c>
      <c r="R371" s="1">
        <v>25105.848145897799</v>
      </c>
      <c r="S371" s="5">
        <f t="shared" si="17"/>
        <v>25104.848145897799</v>
      </c>
      <c r="T371" s="1">
        <v>345</v>
      </c>
      <c r="U371" s="1">
        <v>40</v>
      </c>
      <c r="V371" s="1">
        <v>13</v>
      </c>
      <c r="W371" s="1">
        <v>3511</v>
      </c>
      <c r="X371" s="1">
        <v>0.81374820351993604</v>
      </c>
    </row>
    <row r="372" spans="1:24" x14ac:dyDescent="0.3">
      <c r="A372" s="2">
        <v>45346</v>
      </c>
      <c r="B372" s="1" t="s">
        <v>25</v>
      </c>
      <c r="C372" s="1" t="s">
        <v>26</v>
      </c>
      <c r="D372" s="1" t="s">
        <v>36</v>
      </c>
      <c r="E372" s="1" t="s">
        <v>28</v>
      </c>
      <c r="F372" s="1">
        <v>23</v>
      </c>
      <c r="G372" s="1" t="str" cm="1">
        <f t="array" ref="G372">_xlfn.IFS(F372&lt;=25,"YOUTH",F372&lt;=48,"ADULT",TRUE,"SENIOR")</f>
        <v>YOUTH</v>
      </c>
      <c r="H372" s="1" t="s">
        <v>21</v>
      </c>
      <c r="I372" s="1" t="s">
        <v>43</v>
      </c>
      <c r="J372" s="1" t="s">
        <v>23</v>
      </c>
      <c r="K372" s="1" t="s">
        <v>39</v>
      </c>
      <c r="L372" s="1">
        <v>11055</v>
      </c>
      <c r="M372" s="3">
        <f t="shared" si="15"/>
        <v>6.7480777928539126E-2</v>
      </c>
      <c r="N372" s="1">
        <v>746</v>
      </c>
      <c r="O372" s="4">
        <f t="shared" si="16"/>
        <v>9.9466666666666672</v>
      </c>
      <c r="P372" s="1">
        <v>75</v>
      </c>
      <c r="Q372" s="1">
        <v>1653.14884340459</v>
      </c>
      <c r="R372" s="1">
        <v>562.32502249040999</v>
      </c>
      <c r="S372" s="5">
        <f t="shared" si="17"/>
        <v>561.32502249040999</v>
      </c>
      <c r="T372" s="1">
        <v>82</v>
      </c>
      <c r="U372" s="1">
        <v>10</v>
      </c>
      <c r="V372" s="1">
        <v>1</v>
      </c>
      <c r="W372" s="1">
        <v>1972</v>
      </c>
      <c r="X372" s="1">
        <v>0.43712567587981299</v>
      </c>
    </row>
    <row r="373" spans="1:24" x14ac:dyDescent="0.3">
      <c r="A373" s="2">
        <v>45313</v>
      </c>
      <c r="B373" s="1" t="s">
        <v>40</v>
      </c>
      <c r="C373" s="1" t="s">
        <v>35</v>
      </c>
      <c r="D373" s="1" t="s">
        <v>32</v>
      </c>
      <c r="E373" s="1" t="s">
        <v>28</v>
      </c>
      <c r="F373" s="1">
        <v>32</v>
      </c>
      <c r="G373" s="1" t="str" cm="1">
        <f t="array" ref="G373">_xlfn.IFS(F373&lt;=25,"YOUTH",F373&lt;=48,"ADULT",TRUE,"SENIOR")</f>
        <v>ADULT</v>
      </c>
      <c r="H373" s="1" t="s">
        <v>21</v>
      </c>
      <c r="I373" s="1" t="s">
        <v>33</v>
      </c>
      <c r="J373" s="1" t="s">
        <v>23</v>
      </c>
      <c r="K373" s="1" t="s">
        <v>39</v>
      </c>
      <c r="L373" s="1">
        <v>30508</v>
      </c>
      <c r="M373" s="3">
        <f t="shared" si="15"/>
        <v>4.3103448275862072E-2</v>
      </c>
      <c r="N373" s="1">
        <v>1315</v>
      </c>
      <c r="O373" s="4">
        <f t="shared" si="16"/>
        <v>11.336206896551724</v>
      </c>
      <c r="P373" s="1">
        <v>116</v>
      </c>
      <c r="Q373" s="1">
        <v>3732.4261900000001</v>
      </c>
      <c r="R373" s="1">
        <v>3608.7468869545701</v>
      </c>
      <c r="S373" s="5">
        <f t="shared" si="17"/>
        <v>3607.7468869545701</v>
      </c>
      <c r="T373" s="1">
        <v>622</v>
      </c>
      <c r="U373" s="1">
        <v>53</v>
      </c>
      <c r="V373" s="1">
        <v>61</v>
      </c>
      <c r="W373" s="1">
        <v>4162</v>
      </c>
      <c r="X373" s="1">
        <v>0.51944048377604302</v>
      </c>
    </row>
    <row r="374" spans="1:24" x14ac:dyDescent="0.3">
      <c r="A374" s="2">
        <v>45312</v>
      </c>
      <c r="B374" s="1" t="s">
        <v>40</v>
      </c>
      <c r="C374" s="1" t="s">
        <v>35</v>
      </c>
      <c r="D374" s="1" t="s">
        <v>19</v>
      </c>
      <c r="E374" s="1" t="s">
        <v>20</v>
      </c>
      <c r="F374" s="1">
        <v>54</v>
      </c>
      <c r="G374" s="1" t="str" cm="1">
        <f t="array" ref="G374">_xlfn.IFS(F374&lt;=25,"YOUTH",F374&lt;=48,"ADULT",TRUE,"SENIOR")</f>
        <v>SENIOR</v>
      </c>
      <c r="H374" s="1" t="s">
        <v>29</v>
      </c>
      <c r="I374" s="1" t="s">
        <v>43</v>
      </c>
      <c r="J374" s="1" t="s">
        <v>38</v>
      </c>
      <c r="K374" s="1" t="s">
        <v>39</v>
      </c>
      <c r="L374" s="1">
        <v>13676</v>
      </c>
      <c r="M374" s="3">
        <f t="shared" si="15"/>
        <v>0.11216730038022814</v>
      </c>
      <c r="N374" s="1">
        <v>1534</v>
      </c>
      <c r="O374" s="4">
        <f t="shared" si="16"/>
        <v>6.7280701754385968</v>
      </c>
      <c r="P374" s="1">
        <v>228</v>
      </c>
      <c r="Q374" s="1">
        <v>1000.2125144315301</v>
      </c>
      <c r="R374" s="1">
        <v>12982.2680767854</v>
      </c>
      <c r="S374" s="5">
        <f t="shared" si="17"/>
        <v>12981.2680767854</v>
      </c>
      <c r="T374" s="1">
        <v>217</v>
      </c>
      <c r="U374" s="1">
        <v>39</v>
      </c>
      <c r="V374" s="1">
        <v>21</v>
      </c>
      <c r="W374" s="1">
        <v>1818</v>
      </c>
      <c r="X374" s="1">
        <v>0.65442075265719502</v>
      </c>
    </row>
    <row r="375" spans="1:24" x14ac:dyDescent="0.3">
      <c r="A375" s="2">
        <v>45317</v>
      </c>
      <c r="B375" s="1" t="s">
        <v>25</v>
      </c>
      <c r="C375" s="1" t="s">
        <v>41</v>
      </c>
      <c r="D375" s="1" t="s">
        <v>27</v>
      </c>
      <c r="E375" s="1" t="s">
        <v>28</v>
      </c>
      <c r="F375" s="1">
        <v>50</v>
      </c>
      <c r="G375" s="1" t="str" cm="1">
        <f t="array" ref="G375">_xlfn.IFS(F375&lt;=25,"YOUTH",F375&lt;=48,"ADULT",TRUE,"SENIOR")</f>
        <v>SENIOR</v>
      </c>
      <c r="H375" s="1" t="s">
        <v>29</v>
      </c>
      <c r="I375" s="1" t="s">
        <v>33</v>
      </c>
      <c r="J375" s="1" t="s">
        <v>23</v>
      </c>
      <c r="K375" s="1" t="s">
        <v>39</v>
      </c>
      <c r="L375" s="1">
        <v>26192</v>
      </c>
      <c r="M375" s="3">
        <f t="shared" si="15"/>
        <v>2.8443799633475871E-2</v>
      </c>
      <c r="N375" s="1">
        <v>745</v>
      </c>
      <c r="O375" s="4">
        <f t="shared" si="16"/>
        <v>46.5625</v>
      </c>
      <c r="P375" s="1">
        <v>16</v>
      </c>
      <c r="Q375" s="1">
        <v>3327.3052250000001</v>
      </c>
      <c r="R375" s="1">
        <v>623.60515522390403</v>
      </c>
      <c r="S375" s="5">
        <f t="shared" si="17"/>
        <v>622.60515522390403</v>
      </c>
      <c r="T375" s="1">
        <v>410</v>
      </c>
      <c r="U375" s="1">
        <v>80</v>
      </c>
      <c r="V375" s="1">
        <v>20</v>
      </c>
      <c r="W375" s="1">
        <v>1487</v>
      </c>
      <c r="X375" s="1">
        <v>0.73233253025340395</v>
      </c>
    </row>
    <row r="376" spans="1:24" x14ac:dyDescent="0.3">
      <c r="A376" s="2">
        <v>45331</v>
      </c>
      <c r="B376" s="1" t="s">
        <v>34</v>
      </c>
      <c r="C376" s="1" t="s">
        <v>26</v>
      </c>
      <c r="D376" s="1" t="s">
        <v>19</v>
      </c>
      <c r="E376" s="1" t="s">
        <v>28</v>
      </c>
      <c r="F376" s="1">
        <v>25</v>
      </c>
      <c r="G376" s="1" t="str" cm="1">
        <f t="array" ref="G376">_xlfn.IFS(F376&lt;=25,"YOUTH",F376&lt;=48,"ADULT",TRUE,"SENIOR")</f>
        <v>YOUTH</v>
      </c>
      <c r="H376" s="1" t="s">
        <v>29</v>
      </c>
      <c r="I376" s="1" t="s">
        <v>37</v>
      </c>
      <c r="J376" s="1" t="s">
        <v>23</v>
      </c>
      <c r="K376" s="1" t="s">
        <v>24</v>
      </c>
      <c r="L376" s="1">
        <v>25722</v>
      </c>
      <c r="M376" s="3">
        <f t="shared" si="15"/>
        <v>0.10520177280149288</v>
      </c>
      <c r="N376" s="1">
        <v>2706</v>
      </c>
      <c r="O376" s="4">
        <f t="shared" si="16"/>
        <v>25.771428571428572</v>
      </c>
      <c r="P376" s="1">
        <v>105</v>
      </c>
      <c r="Q376" s="1">
        <v>2790.2840571366301</v>
      </c>
      <c r="R376" s="1">
        <v>4279.0144073154697</v>
      </c>
      <c r="S376" s="5">
        <f t="shared" si="17"/>
        <v>4278.0144073154697</v>
      </c>
      <c r="T376" s="1">
        <v>467</v>
      </c>
      <c r="U376" s="1">
        <v>78</v>
      </c>
      <c r="V376" s="1">
        <v>10</v>
      </c>
      <c r="W376" s="1">
        <v>2186</v>
      </c>
      <c r="X376" s="1">
        <v>0.58654107507327802</v>
      </c>
    </row>
    <row r="377" spans="1:24" x14ac:dyDescent="0.3">
      <c r="A377" s="2">
        <v>45312</v>
      </c>
      <c r="B377" s="1" t="s">
        <v>34</v>
      </c>
      <c r="C377" s="1" t="s">
        <v>18</v>
      </c>
      <c r="D377" s="1" t="s">
        <v>32</v>
      </c>
      <c r="E377" s="1" t="s">
        <v>20</v>
      </c>
      <c r="F377" s="1">
        <v>22</v>
      </c>
      <c r="G377" s="1" t="str" cm="1">
        <f t="array" ref="G377">_xlfn.IFS(F377&lt;=25,"YOUTH",F377&lt;=48,"ADULT",TRUE,"SENIOR")</f>
        <v>YOUTH</v>
      </c>
      <c r="H377" s="1" t="s">
        <v>29</v>
      </c>
      <c r="I377" s="1" t="s">
        <v>43</v>
      </c>
      <c r="J377" s="1" t="s">
        <v>23</v>
      </c>
      <c r="K377" s="1" t="s">
        <v>31</v>
      </c>
      <c r="L377" s="1">
        <v>8446</v>
      </c>
      <c r="M377" s="3">
        <f t="shared" si="15"/>
        <v>0.12787118162443761</v>
      </c>
      <c r="N377" s="1">
        <v>1080</v>
      </c>
      <c r="O377" s="4">
        <f t="shared" si="16"/>
        <v>20.76923076923077</v>
      </c>
      <c r="P377" s="1">
        <v>52</v>
      </c>
      <c r="Q377" s="1">
        <v>1036.29648651248</v>
      </c>
      <c r="R377" s="1">
        <v>588.41662504496298</v>
      </c>
      <c r="S377" s="5">
        <f t="shared" si="17"/>
        <v>587.41662504496298</v>
      </c>
      <c r="T377" s="1">
        <v>118</v>
      </c>
      <c r="U377" s="1">
        <v>15</v>
      </c>
      <c r="V377" s="1">
        <v>9</v>
      </c>
      <c r="W377" s="1">
        <v>1180</v>
      </c>
      <c r="X377" s="1">
        <v>0.56411500702843398</v>
      </c>
    </row>
    <row r="378" spans="1:24" x14ac:dyDescent="0.3">
      <c r="A378" s="2">
        <v>45316</v>
      </c>
      <c r="B378" s="1" t="s">
        <v>40</v>
      </c>
      <c r="C378" s="1" t="s">
        <v>35</v>
      </c>
      <c r="D378" s="1" t="s">
        <v>19</v>
      </c>
      <c r="E378" s="1" t="s">
        <v>20</v>
      </c>
      <c r="F378" s="1">
        <v>56</v>
      </c>
      <c r="G378" s="1" t="str" cm="1">
        <f t="array" ref="G378">_xlfn.IFS(F378&lt;=25,"YOUTH",F378&lt;=48,"ADULT",TRUE,"SENIOR")</f>
        <v>SENIOR</v>
      </c>
      <c r="H378" s="1" t="s">
        <v>29</v>
      </c>
      <c r="I378" s="1" t="s">
        <v>43</v>
      </c>
      <c r="J378" s="1" t="s">
        <v>38</v>
      </c>
      <c r="K378" s="1" t="s">
        <v>39</v>
      </c>
      <c r="L378" s="1">
        <v>5725</v>
      </c>
      <c r="M378" s="3">
        <f t="shared" si="15"/>
        <v>4.1921397379912663E-2</v>
      </c>
      <c r="N378" s="1">
        <v>240</v>
      </c>
      <c r="O378" s="4">
        <f t="shared" si="16"/>
        <v>16</v>
      </c>
      <c r="P378" s="1">
        <v>15</v>
      </c>
      <c r="Q378" s="1">
        <v>721.21734650323401</v>
      </c>
      <c r="R378" s="1">
        <v>204.02229221708899</v>
      </c>
      <c r="S378" s="5">
        <f t="shared" si="17"/>
        <v>203.02229221708899</v>
      </c>
      <c r="T378" s="1">
        <v>118</v>
      </c>
      <c r="U378" s="1">
        <v>22</v>
      </c>
      <c r="V378" s="1">
        <v>10</v>
      </c>
      <c r="W378" s="1">
        <v>1027</v>
      </c>
      <c r="X378" s="1">
        <v>0.42276130763484598</v>
      </c>
    </row>
    <row r="379" spans="1:24" x14ac:dyDescent="0.3">
      <c r="A379" s="2">
        <v>45332</v>
      </c>
      <c r="B379" s="1" t="s">
        <v>40</v>
      </c>
      <c r="C379" s="1" t="s">
        <v>18</v>
      </c>
      <c r="D379" s="1" t="s">
        <v>32</v>
      </c>
      <c r="E379" s="1" t="s">
        <v>28</v>
      </c>
      <c r="F379" s="1">
        <v>21</v>
      </c>
      <c r="G379" s="1" t="str" cm="1">
        <f t="array" ref="G379">_xlfn.IFS(F379&lt;=25,"YOUTH",F379&lt;=48,"ADULT",TRUE,"SENIOR")</f>
        <v>YOUTH</v>
      </c>
      <c r="H379" s="1" t="s">
        <v>42</v>
      </c>
      <c r="I379" s="1" t="s">
        <v>22</v>
      </c>
      <c r="J379" s="1" t="s">
        <v>23</v>
      </c>
      <c r="K379" s="1" t="s">
        <v>31</v>
      </c>
      <c r="L379" s="1">
        <v>21061</v>
      </c>
      <c r="M379" s="3">
        <f t="shared" si="15"/>
        <v>0.13128531408765015</v>
      </c>
      <c r="N379" s="1">
        <v>2765</v>
      </c>
      <c r="O379" s="4">
        <f t="shared" si="16"/>
        <v>7.2763157894736841</v>
      </c>
      <c r="P379" s="1">
        <v>380</v>
      </c>
      <c r="Q379" s="1">
        <v>653.20120384105996</v>
      </c>
      <c r="R379" s="1">
        <v>18621.8902525349</v>
      </c>
      <c r="S379" s="5">
        <f t="shared" si="17"/>
        <v>18620.8902525349</v>
      </c>
      <c r="T379" s="1">
        <v>121</v>
      </c>
      <c r="U379" s="1">
        <v>8</v>
      </c>
      <c r="V379" s="1">
        <v>3</v>
      </c>
      <c r="W379" s="1">
        <v>1473</v>
      </c>
      <c r="X379" s="1">
        <v>0.41793097462829598</v>
      </c>
    </row>
    <row r="380" spans="1:24" x14ac:dyDescent="0.3">
      <c r="A380" s="2">
        <v>45292</v>
      </c>
      <c r="B380" s="1" t="s">
        <v>34</v>
      </c>
      <c r="C380" s="1" t="s">
        <v>35</v>
      </c>
      <c r="D380" s="1" t="s">
        <v>27</v>
      </c>
      <c r="E380" s="1" t="s">
        <v>28</v>
      </c>
      <c r="F380" s="1">
        <v>23</v>
      </c>
      <c r="G380" s="1" t="str" cm="1">
        <f t="array" ref="G380">_xlfn.IFS(F380&lt;=25,"YOUTH",F380&lt;=48,"ADULT",TRUE,"SENIOR")</f>
        <v>YOUTH</v>
      </c>
      <c r="H380" s="1" t="s">
        <v>29</v>
      </c>
      <c r="I380" s="1" t="s">
        <v>33</v>
      </c>
      <c r="J380" s="1" t="s">
        <v>38</v>
      </c>
      <c r="K380" s="1" t="s">
        <v>39</v>
      </c>
      <c r="L380" s="1">
        <v>48537</v>
      </c>
      <c r="M380" s="3">
        <f t="shared" si="15"/>
        <v>1.4648618579640274E-2</v>
      </c>
      <c r="N380" s="1">
        <v>711</v>
      </c>
      <c r="O380" s="4">
        <f t="shared" si="16"/>
        <v>4.0397727272727275</v>
      </c>
      <c r="P380" s="1">
        <v>176</v>
      </c>
      <c r="Q380" s="1">
        <v>4901.5805564632201</v>
      </c>
      <c r="R380" s="1">
        <v>8602.5333589966795</v>
      </c>
      <c r="S380" s="5">
        <f t="shared" si="17"/>
        <v>8601.5333589966795</v>
      </c>
      <c r="T380" s="1">
        <v>1419</v>
      </c>
      <c r="U380" s="1">
        <v>172</v>
      </c>
      <c r="V380" s="1">
        <v>43</v>
      </c>
      <c r="W380" s="1">
        <v>2472</v>
      </c>
      <c r="X380" s="1">
        <v>0.55328216986655399</v>
      </c>
    </row>
    <row r="381" spans="1:24" x14ac:dyDescent="0.3">
      <c r="A381" s="2">
        <v>45297</v>
      </c>
      <c r="B381" s="1" t="s">
        <v>34</v>
      </c>
      <c r="C381" s="1" t="s">
        <v>26</v>
      </c>
      <c r="D381" s="1" t="s">
        <v>19</v>
      </c>
      <c r="E381" s="1" t="s">
        <v>28</v>
      </c>
      <c r="F381" s="1">
        <v>49</v>
      </c>
      <c r="G381" s="1" t="str" cm="1">
        <f t="array" ref="G381">_xlfn.IFS(F381&lt;=25,"YOUTH",F381&lt;=48,"ADULT",TRUE,"SENIOR")</f>
        <v>SENIOR</v>
      </c>
      <c r="H381" s="1" t="s">
        <v>21</v>
      </c>
      <c r="I381" s="1" t="s">
        <v>37</v>
      </c>
      <c r="J381" s="1" t="s">
        <v>23</v>
      </c>
      <c r="K381" s="1" t="s">
        <v>39</v>
      </c>
      <c r="L381" s="1">
        <v>23671</v>
      </c>
      <c r="M381" s="3">
        <f t="shared" si="15"/>
        <v>0.13776350809006802</v>
      </c>
      <c r="N381" s="1">
        <v>3261</v>
      </c>
      <c r="O381" s="4">
        <f t="shared" si="16"/>
        <v>5.8862815884476536</v>
      </c>
      <c r="P381" s="1">
        <v>554</v>
      </c>
      <c r="Q381" s="1">
        <v>494.30070718688302</v>
      </c>
      <c r="R381" s="1">
        <v>38027.513227024298</v>
      </c>
      <c r="S381" s="5">
        <f t="shared" si="17"/>
        <v>38026.513227024298</v>
      </c>
      <c r="T381" s="1">
        <v>665</v>
      </c>
      <c r="U381" s="1">
        <v>86</v>
      </c>
      <c r="V381" s="1">
        <v>57</v>
      </c>
      <c r="W381" s="1">
        <v>2906</v>
      </c>
      <c r="X381" s="1">
        <v>0.69177835504924801</v>
      </c>
    </row>
    <row r="382" spans="1:24" x14ac:dyDescent="0.3">
      <c r="A382" s="2">
        <v>45314</v>
      </c>
      <c r="B382" s="1" t="s">
        <v>17</v>
      </c>
      <c r="C382" s="1" t="s">
        <v>41</v>
      </c>
      <c r="D382" s="1" t="s">
        <v>19</v>
      </c>
      <c r="E382" s="1" t="s">
        <v>28</v>
      </c>
      <c r="F382" s="1">
        <v>47</v>
      </c>
      <c r="G382" s="1" t="str" cm="1">
        <f t="array" ref="G382">_xlfn.IFS(F382&lt;=25,"YOUTH",F382&lt;=48,"ADULT",TRUE,"SENIOR")</f>
        <v>ADULT</v>
      </c>
      <c r="H382" s="1" t="s">
        <v>29</v>
      </c>
      <c r="I382" s="1" t="s">
        <v>22</v>
      </c>
      <c r="J382" s="1" t="s">
        <v>23</v>
      </c>
      <c r="K382" s="1" t="s">
        <v>31</v>
      </c>
      <c r="L382" s="1">
        <v>2409</v>
      </c>
      <c r="M382" s="3">
        <f t="shared" si="15"/>
        <v>2.6567040265670402E-2</v>
      </c>
      <c r="N382" s="1">
        <v>64</v>
      </c>
      <c r="O382" s="4">
        <f t="shared" si="16"/>
        <v>32</v>
      </c>
      <c r="P382" s="1">
        <v>2</v>
      </c>
      <c r="Q382" s="1">
        <v>61.789192649999997</v>
      </c>
      <c r="R382" s="1">
        <v>102.55388844852099</v>
      </c>
      <c r="S382" s="5">
        <f t="shared" si="17"/>
        <v>101.55388844852099</v>
      </c>
      <c r="T382" s="1">
        <v>68</v>
      </c>
      <c r="U382" s="1">
        <v>8</v>
      </c>
      <c r="V382" s="1">
        <v>6</v>
      </c>
      <c r="W382" s="1">
        <v>54</v>
      </c>
      <c r="X382" s="1">
        <v>0.70600432304497596</v>
      </c>
    </row>
    <row r="383" spans="1:24" x14ac:dyDescent="0.3">
      <c r="A383" s="2">
        <v>45342</v>
      </c>
      <c r="B383" s="1" t="s">
        <v>40</v>
      </c>
      <c r="C383" s="1" t="s">
        <v>18</v>
      </c>
      <c r="D383" s="1" t="s">
        <v>32</v>
      </c>
      <c r="E383" s="1" t="s">
        <v>20</v>
      </c>
      <c r="F383" s="1">
        <v>52</v>
      </c>
      <c r="G383" s="1" t="str" cm="1">
        <f t="array" ref="G383">_xlfn.IFS(F383&lt;=25,"YOUTH",F383&lt;=48,"ADULT",TRUE,"SENIOR")</f>
        <v>SENIOR</v>
      </c>
      <c r="H383" s="1" t="s">
        <v>21</v>
      </c>
      <c r="I383" s="1" t="s">
        <v>22</v>
      </c>
      <c r="J383" s="1" t="s">
        <v>23</v>
      </c>
      <c r="K383" s="1" t="s">
        <v>39</v>
      </c>
      <c r="L383" s="1">
        <v>9205</v>
      </c>
      <c r="M383" s="3">
        <f t="shared" si="15"/>
        <v>0.10038022813688213</v>
      </c>
      <c r="N383" s="1">
        <v>924</v>
      </c>
      <c r="O383" s="4">
        <f t="shared" si="16"/>
        <v>7.1076923076923073</v>
      </c>
      <c r="P383" s="1">
        <v>130</v>
      </c>
      <c r="Q383" s="1">
        <v>1265.8476778366701</v>
      </c>
      <c r="R383" s="1">
        <v>4817.9075409999996</v>
      </c>
      <c r="S383" s="5">
        <f t="shared" si="17"/>
        <v>4816.9075409999996</v>
      </c>
      <c r="T383" s="1">
        <v>130</v>
      </c>
      <c r="U383" s="1">
        <v>22</v>
      </c>
      <c r="V383" s="1">
        <v>10</v>
      </c>
      <c r="W383" s="1">
        <v>1341</v>
      </c>
      <c r="X383" s="1">
        <v>0.671715121076777</v>
      </c>
    </row>
    <row r="384" spans="1:24" x14ac:dyDescent="0.3">
      <c r="A384" s="2">
        <v>45314</v>
      </c>
      <c r="B384" s="1" t="s">
        <v>40</v>
      </c>
      <c r="C384" s="1" t="s">
        <v>18</v>
      </c>
      <c r="D384" s="1" t="s">
        <v>32</v>
      </c>
      <c r="E384" s="1" t="s">
        <v>28</v>
      </c>
      <c r="F384" s="1">
        <v>57</v>
      </c>
      <c r="G384" s="1" t="str" cm="1">
        <f t="array" ref="G384">_xlfn.IFS(F384&lt;=25,"YOUTH",F384&lt;=48,"ADULT",TRUE,"SENIOR")</f>
        <v>SENIOR</v>
      </c>
      <c r="H384" s="1" t="s">
        <v>42</v>
      </c>
      <c r="I384" s="1" t="s">
        <v>37</v>
      </c>
      <c r="J384" s="1" t="s">
        <v>38</v>
      </c>
      <c r="K384" s="1" t="s">
        <v>31</v>
      </c>
      <c r="L384" s="1">
        <v>17365</v>
      </c>
      <c r="M384" s="3">
        <f t="shared" si="15"/>
        <v>4.4975525482291966E-2</v>
      </c>
      <c r="N384" s="1">
        <v>781</v>
      </c>
      <c r="O384" s="4">
        <f t="shared" si="16"/>
        <v>7.509615384615385</v>
      </c>
      <c r="P384" s="1">
        <v>104</v>
      </c>
      <c r="Q384" s="1">
        <v>1538.24872277692</v>
      </c>
      <c r="R384" s="1">
        <v>6315.5360870868099</v>
      </c>
      <c r="S384" s="5">
        <f t="shared" si="17"/>
        <v>6314.5360870868099</v>
      </c>
      <c r="T384" s="1">
        <v>317</v>
      </c>
      <c r="U384" s="1">
        <v>47</v>
      </c>
      <c r="V384" s="1">
        <v>11</v>
      </c>
      <c r="W384" s="1">
        <v>2493</v>
      </c>
      <c r="X384" s="1">
        <v>0.62543437620155795</v>
      </c>
    </row>
    <row r="385" spans="1:24" x14ac:dyDescent="0.3">
      <c r="A385" s="2">
        <v>45334</v>
      </c>
      <c r="B385" s="1" t="s">
        <v>25</v>
      </c>
      <c r="C385" s="1" t="s">
        <v>41</v>
      </c>
      <c r="D385" s="1" t="s">
        <v>36</v>
      </c>
      <c r="E385" s="1" t="s">
        <v>28</v>
      </c>
      <c r="F385" s="1">
        <v>33</v>
      </c>
      <c r="G385" s="1" t="str" cm="1">
        <f t="array" ref="G385">_xlfn.IFS(F385&lt;=25,"YOUTH",F385&lt;=48,"ADULT",TRUE,"SENIOR")</f>
        <v>ADULT</v>
      </c>
      <c r="H385" s="1" t="s">
        <v>21</v>
      </c>
      <c r="I385" s="1" t="s">
        <v>22</v>
      </c>
      <c r="J385" s="1" t="s">
        <v>23</v>
      </c>
      <c r="K385" s="1" t="s">
        <v>39</v>
      </c>
      <c r="L385" s="1">
        <v>1256</v>
      </c>
      <c r="M385" s="3">
        <f t="shared" si="15"/>
        <v>0.12659235668789809</v>
      </c>
      <c r="N385" s="1">
        <v>159</v>
      </c>
      <c r="O385" s="4">
        <f t="shared" si="16"/>
        <v>19.875</v>
      </c>
      <c r="P385" s="1">
        <v>8</v>
      </c>
      <c r="Q385" s="1">
        <v>145.27807625261201</v>
      </c>
      <c r="R385" s="1">
        <v>94.325952624286799</v>
      </c>
      <c r="S385" s="5">
        <f t="shared" si="17"/>
        <v>93.325952624286799</v>
      </c>
      <c r="T385" s="1">
        <v>36</v>
      </c>
      <c r="U385" s="1">
        <v>2</v>
      </c>
      <c r="V385" s="1">
        <v>1</v>
      </c>
      <c r="W385" s="1">
        <v>97</v>
      </c>
      <c r="X385" s="1">
        <v>0.53876037409372601</v>
      </c>
    </row>
    <row r="386" spans="1:24" x14ac:dyDescent="0.3">
      <c r="A386" s="2">
        <v>45334</v>
      </c>
      <c r="B386" s="1" t="s">
        <v>17</v>
      </c>
      <c r="C386" s="1" t="s">
        <v>18</v>
      </c>
      <c r="D386" s="1" t="s">
        <v>32</v>
      </c>
      <c r="E386" s="1" t="s">
        <v>20</v>
      </c>
      <c r="F386" s="1">
        <v>30</v>
      </c>
      <c r="G386" s="1" t="str" cm="1">
        <f t="array" ref="G386">_xlfn.IFS(F386&lt;=25,"YOUTH",F386&lt;=48,"ADULT",TRUE,"SENIOR")</f>
        <v>ADULT</v>
      </c>
      <c r="H386" s="1" t="s">
        <v>21</v>
      </c>
      <c r="I386" s="1" t="s">
        <v>33</v>
      </c>
      <c r="J386" s="1" t="s">
        <v>38</v>
      </c>
      <c r="K386" s="1" t="s">
        <v>31</v>
      </c>
      <c r="L386" s="1">
        <v>16704</v>
      </c>
      <c r="M386" s="3">
        <f t="shared" si="15"/>
        <v>8.1716954022988508E-2</v>
      </c>
      <c r="N386" s="1">
        <v>1365</v>
      </c>
      <c r="O386" s="4">
        <f t="shared" si="16"/>
        <v>4.3196202531645573</v>
      </c>
      <c r="P386" s="1">
        <v>316</v>
      </c>
      <c r="Q386" s="1">
        <v>2154.9016707670999</v>
      </c>
      <c r="R386" s="1">
        <v>10808.536161209</v>
      </c>
      <c r="S386" s="5">
        <f t="shared" si="17"/>
        <v>10807.536161209</v>
      </c>
      <c r="T386" s="1">
        <v>460</v>
      </c>
      <c r="U386" s="1">
        <v>46</v>
      </c>
      <c r="V386" s="1">
        <v>31</v>
      </c>
      <c r="W386" s="1">
        <v>3000</v>
      </c>
      <c r="X386" s="1">
        <v>0.62038193737602998</v>
      </c>
    </row>
    <row r="387" spans="1:24" x14ac:dyDescent="0.3">
      <c r="A387" s="2">
        <v>45314</v>
      </c>
      <c r="B387" s="1" t="s">
        <v>34</v>
      </c>
      <c r="C387" s="1" t="s">
        <v>35</v>
      </c>
      <c r="D387" s="1" t="s">
        <v>32</v>
      </c>
      <c r="E387" s="1" t="s">
        <v>28</v>
      </c>
      <c r="F387" s="1">
        <v>59</v>
      </c>
      <c r="G387" s="1" t="str" cm="1">
        <f t="array" ref="G387">_xlfn.IFS(F387&lt;=25,"YOUTH",F387&lt;=48,"ADULT",TRUE,"SENIOR")</f>
        <v>SENIOR</v>
      </c>
      <c r="H387" s="1" t="s">
        <v>29</v>
      </c>
      <c r="I387" s="1" t="s">
        <v>33</v>
      </c>
      <c r="J387" s="1" t="s">
        <v>38</v>
      </c>
      <c r="K387" s="1" t="s">
        <v>39</v>
      </c>
      <c r="L387" s="1">
        <v>30902</v>
      </c>
      <c r="M387" s="3">
        <f t="shared" ref="M387:M450" si="18">(N387/L387)</f>
        <v>2.8930166332276228E-2</v>
      </c>
      <c r="N387" s="1">
        <v>894</v>
      </c>
      <c r="O387" s="4">
        <f t="shared" ref="O387:O450" si="19">(N387/P387)</f>
        <v>8.2777777777777786</v>
      </c>
      <c r="P387" s="1">
        <v>108</v>
      </c>
      <c r="Q387" s="1">
        <v>4432.7769378664998</v>
      </c>
      <c r="R387" s="1">
        <v>2555.5059587115302</v>
      </c>
      <c r="S387" s="5">
        <f t="shared" ref="S387:S450" si="20">(R387-Q387/Q387)</f>
        <v>2554.5059587115302</v>
      </c>
      <c r="T387" s="1">
        <v>765</v>
      </c>
      <c r="U387" s="1">
        <v>77</v>
      </c>
      <c r="V387" s="1">
        <v>25</v>
      </c>
      <c r="W387" s="1">
        <v>3257</v>
      </c>
      <c r="X387" s="1">
        <v>0.47631798096203198</v>
      </c>
    </row>
    <row r="388" spans="1:24" x14ac:dyDescent="0.3">
      <c r="A388" s="2">
        <v>45323</v>
      </c>
      <c r="B388" s="1" t="s">
        <v>17</v>
      </c>
      <c r="C388" s="1" t="s">
        <v>41</v>
      </c>
      <c r="D388" s="1" t="s">
        <v>36</v>
      </c>
      <c r="E388" s="1" t="s">
        <v>28</v>
      </c>
      <c r="F388" s="1">
        <v>47</v>
      </c>
      <c r="G388" s="1" t="str" cm="1">
        <f t="array" ref="G388">_xlfn.IFS(F388&lt;=25,"YOUTH",F388&lt;=48,"ADULT",TRUE,"SENIOR")</f>
        <v>ADULT</v>
      </c>
      <c r="H388" s="1" t="s">
        <v>21</v>
      </c>
      <c r="I388" s="1" t="s">
        <v>43</v>
      </c>
      <c r="J388" s="1" t="s">
        <v>23</v>
      </c>
      <c r="K388" s="1" t="s">
        <v>31</v>
      </c>
      <c r="L388" s="1">
        <v>36758</v>
      </c>
      <c r="M388" s="3">
        <f t="shared" si="18"/>
        <v>8.9912400021763969E-2</v>
      </c>
      <c r="N388" s="1">
        <v>3305</v>
      </c>
      <c r="O388" s="4">
        <f t="shared" si="19"/>
        <v>4.0206812652068127</v>
      </c>
      <c r="P388" s="1">
        <v>822</v>
      </c>
      <c r="Q388" s="1">
        <v>4889.3973579129897</v>
      </c>
      <c r="R388" s="1">
        <v>9700.7980241430305</v>
      </c>
      <c r="S388" s="5">
        <f t="shared" si="20"/>
        <v>9699.7980241430305</v>
      </c>
      <c r="T388" s="1">
        <v>558</v>
      </c>
      <c r="U388" s="1">
        <v>75</v>
      </c>
      <c r="V388" s="1">
        <v>20</v>
      </c>
      <c r="W388" s="1">
        <v>4877</v>
      </c>
      <c r="X388" s="1">
        <v>0.46339257596431999</v>
      </c>
    </row>
    <row r="389" spans="1:24" x14ac:dyDescent="0.3">
      <c r="A389" s="2">
        <v>45321</v>
      </c>
      <c r="B389" s="1" t="s">
        <v>34</v>
      </c>
      <c r="C389" s="1" t="s">
        <v>35</v>
      </c>
      <c r="D389" s="1" t="s">
        <v>32</v>
      </c>
      <c r="E389" s="1" t="s">
        <v>28</v>
      </c>
      <c r="F389" s="1">
        <v>36</v>
      </c>
      <c r="G389" s="1" t="str" cm="1">
        <f t="array" ref="G389">_xlfn.IFS(F389&lt;=25,"YOUTH",F389&lt;=48,"ADULT",TRUE,"SENIOR")</f>
        <v>ADULT</v>
      </c>
      <c r="H389" s="1" t="s">
        <v>29</v>
      </c>
      <c r="I389" s="1" t="s">
        <v>22</v>
      </c>
      <c r="J389" s="1" t="s">
        <v>38</v>
      </c>
      <c r="K389" s="1" t="s">
        <v>39</v>
      </c>
      <c r="L389" s="1">
        <v>2195</v>
      </c>
      <c r="M389" s="3">
        <f t="shared" si="18"/>
        <v>6.697038724373576E-2</v>
      </c>
      <c r="N389" s="1">
        <v>147</v>
      </c>
      <c r="O389" s="4">
        <f t="shared" si="19"/>
        <v>8.6470588235294112</v>
      </c>
      <c r="P389" s="1">
        <v>17</v>
      </c>
      <c r="Q389" s="1">
        <v>181.812921885772</v>
      </c>
      <c r="R389" s="1">
        <v>928.66980361600395</v>
      </c>
      <c r="S389" s="5">
        <f t="shared" si="20"/>
        <v>927.66980361600395</v>
      </c>
      <c r="T389" s="1">
        <v>41</v>
      </c>
      <c r="U389" s="1">
        <v>3</v>
      </c>
      <c r="V389" s="1">
        <v>1</v>
      </c>
      <c r="W389" s="1">
        <v>109</v>
      </c>
      <c r="X389" s="1">
        <v>0.56496879124758503</v>
      </c>
    </row>
    <row r="390" spans="1:24" x14ac:dyDescent="0.3">
      <c r="A390" s="2">
        <v>45304</v>
      </c>
      <c r="B390" s="1" t="s">
        <v>34</v>
      </c>
      <c r="C390" s="1" t="s">
        <v>35</v>
      </c>
      <c r="D390" s="1" t="s">
        <v>32</v>
      </c>
      <c r="E390" s="1" t="s">
        <v>20</v>
      </c>
      <c r="F390" s="1">
        <v>34</v>
      </c>
      <c r="G390" s="1" t="str" cm="1">
        <f t="array" ref="G390">_xlfn.IFS(F390&lt;=25,"YOUTH",F390&lt;=48,"ADULT",TRUE,"SENIOR")</f>
        <v>ADULT</v>
      </c>
      <c r="H390" s="1" t="s">
        <v>42</v>
      </c>
      <c r="I390" s="1" t="s">
        <v>43</v>
      </c>
      <c r="J390" s="1" t="s">
        <v>38</v>
      </c>
      <c r="K390" s="1" t="s">
        <v>31</v>
      </c>
      <c r="L390" s="1">
        <v>35012</v>
      </c>
      <c r="M390" s="3">
        <f t="shared" si="18"/>
        <v>0.10259339654975437</v>
      </c>
      <c r="N390" s="1">
        <v>3592</v>
      </c>
      <c r="O390" s="4">
        <f t="shared" si="19"/>
        <v>6.2578397212543555</v>
      </c>
      <c r="P390" s="1">
        <v>574</v>
      </c>
      <c r="Q390" s="1">
        <v>2229.42901226084</v>
      </c>
      <c r="R390" s="1">
        <v>21927.650657913298</v>
      </c>
      <c r="S390" s="5">
        <f t="shared" si="20"/>
        <v>21926.650657913298</v>
      </c>
      <c r="T390" s="1">
        <v>869</v>
      </c>
      <c r="U390" s="1">
        <v>58</v>
      </c>
      <c r="V390" s="1">
        <v>52</v>
      </c>
      <c r="W390" s="1">
        <v>3126</v>
      </c>
      <c r="X390" s="1">
        <v>0.94744183803496995</v>
      </c>
    </row>
    <row r="391" spans="1:24" x14ac:dyDescent="0.3">
      <c r="A391" s="2">
        <v>45334</v>
      </c>
      <c r="B391" s="1" t="s">
        <v>17</v>
      </c>
      <c r="C391" s="1" t="s">
        <v>26</v>
      </c>
      <c r="D391" s="1" t="s">
        <v>36</v>
      </c>
      <c r="E391" s="1" t="s">
        <v>20</v>
      </c>
      <c r="F391" s="1">
        <v>36</v>
      </c>
      <c r="G391" s="1" t="str" cm="1">
        <f t="array" ref="G391">_xlfn.IFS(F391&lt;=25,"YOUTH",F391&lt;=48,"ADULT",TRUE,"SENIOR")</f>
        <v>ADULT</v>
      </c>
      <c r="H391" s="1" t="s">
        <v>29</v>
      </c>
      <c r="I391" s="1" t="s">
        <v>22</v>
      </c>
      <c r="J391" s="1" t="s">
        <v>23</v>
      </c>
      <c r="K391" s="1" t="s">
        <v>24</v>
      </c>
      <c r="L391" s="1">
        <v>12415</v>
      </c>
      <c r="M391" s="3">
        <f t="shared" si="18"/>
        <v>0.1333870318163512</v>
      </c>
      <c r="N391" s="1">
        <v>1656</v>
      </c>
      <c r="O391" s="4">
        <f t="shared" si="19"/>
        <v>22.684931506849313</v>
      </c>
      <c r="P391" s="1">
        <v>73</v>
      </c>
      <c r="Q391" s="1">
        <v>497.64435857473501</v>
      </c>
      <c r="R391" s="1">
        <v>3006.8675759135899</v>
      </c>
      <c r="S391" s="5">
        <f t="shared" si="20"/>
        <v>3005.8675759135899</v>
      </c>
      <c r="T391" s="1">
        <v>146</v>
      </c>
      <c r="U391" s="1">
        <v>21</v>
      </c>
      <c r="V391" s="1">
        <v>8</v>
      </c>
      <c r="W391" s="1">
        <v>2158</v>
      </c>
      <c r="X391" s="1">
        <v>0.57957332113401905</v>
      </c>
    </row>
    <row r="392" spans="1:24" x14ac:dyDescent="0.3">
      <c r="A392" s="2">
        <v>45309</v>
      </c>
      <c r="B392" s="1" t="s">
        <v>40</v>
      </c>
      <c r="C392" s="1" t="s">
        <v>35</v>
      </c>
      <c r="D392" s="1" t="s">
        <v>27</v>
      </c>
      <c r="E392" s="1" t="s">
        <v>28</v>
      </c>
      <c r="F392" s="1">
        <v>45</v>
      </c>
      <c r="G392" s="1" t="str" cm="1">
        <f t="array" ref="G392">_xlfn.IFS(F392&lt;=25,"YOUTH",F392&lt;=48,"ADULT",TRUE,"SENIOR")</f>
        <v>ADULT</v>
      </c>
      <c r="H392" s="1" t="s">
        <v>21</v>
      </c>
      <c r="I392" s="1" t="s">
        <v>33</v>
      </c>
      <c r="J392" s="1" t="s">
        <v>23</v>
      </c>
      <c r="K392" s="1" t="s">
        <v>24</v>
      </c>
      <c r="L392" s="1">
        <v>40534</v>
      </c>
      <c r="M392" s="3">
        <f t="shared" si="18"/>
        <v>6.7301524645976218E-2</v>
      </c>
      <c r="N392" s="1">
        <v>2728</v>
      </c>
      <c r="O392" s="4">
        <f t="shared" si="19"/>
        <v>8.0471976401179948</v>
      </c>
      <c r="P392" s="1">
        <v>339</v>
      </c>
      <c r="Q392" s="1">
        <v>2920.1420262481201</v>
      </c>
      <c r="R392" s="1">
        <v>10757.00807</v>
      </c>
      <c r="S392" s="5">
        <f t="shared" si="20"/>
        <v>10756.00807</v>
      </c>
      <c r="T392" s="1">
        <v>837</v>
      </c>
      <c r="U392" s="1">
        <v>148</v>
      </c>
      <c r="V392" s="1">
        <v>71</v>
      </c>
      <c r="W392" s="1">
        <v>2045</v>
      </c>
      <c r="X392" s="1">
        <v>0.91505101469530703</v>
      </c>
    </row>
    <row r="393" spans="1:24" x14ac:dyDescent="0.3">
      <c r="A393" s="2">
        <v>45314</v>
      </c>
      <c r="B393" s="1" t="s">
        <v>34</v>
      </c>
      <c r="C393" s="1" t="s">
        <v>26</v>
      </c>
      <c r="D393" s="1" t="s">
        <v>27</v>
      </c>
      <c r="E393" s="1" t="s">
        <v>28</v>
      </c>
      <c r="F393" s="1">
        <v>43</v>
      </c>
      <c r="G393" s="1" t="str" cm="1">
        <f t="array" ref="G393">_xlfn.IFS(F393&lt;=25,"YOUTH",F393&lt;=48,"ADULT",TRUE,"SENIOR")</f>
        <v>ADULT</v>
      </c>
      <c r="H393" s="1" t="s">
        <v>21</v>
      </c>
      <c r="I393" s="1" t="s">
        <v>33</v>
      </c>
      <c r="J393" s="1" t="s">
        <v>38</v>
      </c>
      <c r="K393" s="1" t="s">
        <v>24</v>
      </c>
      <c r="L393" s="1">
        <v>22686</v>
      </c>
      <c r="M393" s="3">
        <f t="shared" si="18"/>
        <v>5.0559816626994623E-2</v>
      </c>
      <c r="N393" s="1">
        <v>1147</v>
      </c>
      <c r="O393" s="4">
        <f t="shared" si="19"/>
        <v>13.494117647058824</v>
      </c>
      <c r="P393" s="1">
        <v>85</v>
      </c>
      <c r="Q393" s="1">
        <v>1534.57553379051</v>
      </c>
      <c r="R393" s="1">
        <v>2968.3632046051098</v>
      </c>
      <c r="S393" s="5">
        <f t="shared" si="20"/>
        <v>2967.3632046051098</v>
      </c>
      <c r="T393" s="1">
        <v>582</v>
      </c>
      <c r="U393" s="1">
        <v>110</v>
      </c>
      <c r="V393" s="1">
        <v>46</v>
      </c>
      <c r="W393" s="1">
        <v>1910</v>
      </c>
      <c r="X393" s="1">
        <v>0.61574418017223098</v>
      </c>
    </row>
    <row r="394" spans="1:24" x14ac:dyDescent="0.3">
      <c r="A394" s="2">
        <v>45306</v>
      </c>
      <c r="B394" s="1" t="s">
        <v>17</v>
      </c>
      <c r="C394" s="1" t="s">
        <v>18</v>
      </c>
      <c r="D394" s="1" t="s">
        <v>32</v>
      </c>
      <c r="E394" s="1" t="s">
        <v>20</v>
      </c>
      <c r="F394" s="1">
        <v>54</v>
      </c>
      <c r="G394" s="1" t="str" cm="1">
        <f t="array" ref="G394">_xlfn.IFS(F394&lt;=25,"YOUTH",F394&lt;=48,"ADULT",TRUE,"SENIOR")</f>
        <v>SENIOR</v>
      </c>
      <c r="H394" s="1" t="s">
        <v>29</v>
      </c>
      <c r="I394" s="1" t="s">
        <v>33</v>
      </c>
      <c r="J394" s="1" t="s">
        <v>23</v>
      </c>
      <c r="K394" s="1" t="s">
        <v>39</v>
      </c>
      <c r="L394" s="1">
        <v>12662</v>
      </c>
      <c r="M394" s="3">
        <f t="shared" si="18"/>
        <v>1.2004422682040753E-2</v>
      </c>
      <c r="N394" s="1">
        <v>152</v>
      </c>
      <c r="O394" s="4">
        <f t="shared" si="19"/>
        <v>4.75</v>
      </c>
      <c r="P394" s="1">
        <v>32</v>
      </c>
      <c r="Q394" s="1">
        <v>1174.3337643498801</v>
      </c>
      <c r="R394" s="1">
        <v>401.31616521584601</v>
      </c>
      <c r="S394" s="5">
        <f t="shared" si="20"/>
        <v>400.31616521584601</v>
      </c>
      <c r="T394" s="1">
        <v>287</v>
      </c>
      <c r="U394" s="1">
        <v>56</v>
      </c>
      <c r="V394" s="1">
        <v>26</v>
      </c>
      <c r="W394" s="1">
        <v>891</v>
      </c>
      <c r="X394" s="1">
        <v>0.64145549515978495</v>
      </c>
    </row>
    <row r="395" spans="1:24" x14ac:dyDescent="0.3">
      <c r="A395" s="2">
        <v>45324</v>
      </c>
      <c r="B395" s="1" t="s">
        <v>25</v>
      </c>
      <c r="C395" s="1" t="s">
        <v>18</v>
      </c>
      <c r="D395" s="1" t="s">
        <v>32</v>
      </c>
      <c r="E395" s="1" t="s">
        <v>28</v>
      </c>
      <c r="F395" s="1">
        <v>43</v>
      </c>
      <c r="G395" s="1" t="str" cm="1">
        <f t="array" ref="G395">_xlfn.IFS(F395&lt;=25,"YOUTH",F395&lt;=48,"ADULT",TRUE,"SENIOR")</f>
        <v>ADULT</v>
      </c>
      <c r="H395" s="1" t="s">
        <v>29</v>
      </c>
      <c r="I395" s="1" t="s">
        <v>22</v>
      </c>
      <c r="J395" s="1" t="s">
        <v>38</v>
      </c>
      <c r="K395" s="1" t="s">
        <v>39</v>
      </c>
      <c r="L395" s="1">
        <v>49978</v>
      </c>
      <c r="M395" s="3">
        <f t="shared" si="18"/>
        <v>9.0459802313017729E-2</v>
      </c>
      <c r="N395" s="1">
        <v>4521</v>
      </c>
      <c r="O395" s="4">
        <f t="shared" si="19"/>
        <v>4.9955801104972375</v>
      </c>
      <c r="P395" s="1">
        <v>905</v>
      </c>
      <c r="Q395" s="1">
        <v>5323.4678000128397</v>
      </c>
      <c r="R395" s="1">
        <v>44109.391013681299</v>
      </c>
      <c r="S395" s="5">
        <f t="shared" si="20"/>
        <v>44108.391013681299</v>
      </c>
      <c r="T395" s="1">
        <v>848</v>
      </c>
      <c r="U395" s="1">
        <v>141</v>
      </c>
      <c r="V395" s="1">
        <v>73</v>
      </c>
      <c r="W395" s="1">
        <v>1934</v>
      </c>
      <c r="X395" s="1">
        <v>0.83838458576122599</v>
      </c>
    </row>
    <row r="396" spans="1:24" x14ac:dyDescent="0.3">
      <c r="A396" s="2">
        <v>45312</v>
      </c>
      <c r="B396" s="1" t="s">
        <v>17</v>
      </c>
      <c r="C396" s="1" t="s">
        <v>26</v>
      </c>
      <c r="D396" s="1" t="s">
        <v>36</v>
      </c>
      <c r="E396" s="1" t="s">
        <v>28</v>
      </c>
      <c r="F396" s="1">
        <v>40</v>
      </c>
      <c r="G396" s="1" t="str" cm="1">
        <f t="array" ref="G396">_xlfn.IFS(F396&lt;=25,"YOUTH",F396&lt;=48,"ADULT",TRUE,"SENIOR")</f>
        <v>ADULT</v>
      </c>
      <c r="H396" s="1" t="s">
        <v>29</v>
      </c>
      <c r="I396" s="1" t="s">
        <v>33</v>
      </c>
      <c r="J396" s="1" t="s">
        <v>30</v>
      </c>
      <c r="K396" s="1" t="s">
        <v>31</v>
      </c>
      <c r="L396" s="1">
        <v>29743</v>
      </c>
      <c r="M396" s="3">
        <f t="shared" si="18"/>
        <v>6.6301314595030761E-2</v>
      </c>
      <c r="N396" s="1">
        <v>1972</v>
      </c>
      <c r="O396" s="4">
        <f t="shared" si="19"/>
        <v>4.7748184019370461</v>
      </c>
      <c r="P396" s="1">
        <v>413</v>
      </c>
      <c r="Q396" s="1">
        <v>4377.6435039676498</v>
      </c>
      <c r="R396" s="1">
        <v>13674.0493686019</v>
      </c>
      <c r="S396" s="5">
        <f t="shared" si="20"/>
        <v>13673.0493686019</v>
      </c>
      <c r="T396" s="1">
        <v>583</v>
      </c>
      <c r="U396" s="1">
        <v>41</v>
      </c>
      <c r="V396" s="1">
        <v>23</v>
      </c>
      <c r="W396" s="1">
        <v>1934</v>
      </c>
      <c r="X396" s="1">
        <v>0.45150108009610102</v>
      </c>
    </row>
    <row r="397" spans="1:24" x14ac:dyDescent="0.3">
      <c r="A397" s="2">
        <v>45348</v>
      </c>
      <c r="B397" s="1" t="s">
        <v>25</v>
      </c>
      <c r="C397" s="1" t="s">
        <v>35</v>
      </c>
      <c r="D397" s="1" t="s">
        <v>36</v>
      </c>
      <c r="E397" s="1" t="s">
        <v>20</v>
      </c>
      <c r="F397" s="1">
        <v>26</v>
      </c>
      <c r="G397" s="1" t="str" cm="1">
        <f t="array" ref="G397">_xlfn.IFS(F397&lt;=25,"YOUTH",F397&lt;=48,"ADULT",TRUE,"SENIOR")</f>
        <v>ADULT</v>
      </c>
      <c r="H397" s="1" t="s">
        <v>29</v>
      </c>
      <c r="I397" s="1" t="s">
        <v>22</v>
      </c>
      <c r="J397" s="1" t="s">
        <v>23</v>
      </c>
      <c r="K397" s="1" t="s">
        <v>31</v>
      </c>
      <c r="L397" s="1">
        <v>33161</v>
      </c>
      <c r="M397" s="3">
        <f t="shared" si="18"/>
        <v>6.2422725490787367E-2</v>
      </c>
      <c r="N397" s="1">
        <v>2070</v>
      </c>
      <c r="O397" s="4">
        <f t="shared" si="19"/>
        <v>5.3766233766233764</v>
      </c>
      <c r="P397" s="1">
        <v>385</v>
      </c>
      <c r="Q397" s="1">
        <v>3803.2418612472302</v>
      </c>
      <c r="R397" s="1">
        <v>22364.608517567802</v>
      </c>
      <c r="S397" s="5">
        <f t="shared" si="20"/>
        <v>22363.608517567802</v>
      </c>
      <c r="T397" s="1">
        <v>985</v>
      </c>
      <c r="U397" s="1">
        <v>175</v>
      </c>
      <c r="V397" s="1">
        <v>45</v>
      </c>
      <c r="W397" s="1">
        <v>1798</v>
      </c>
      <c r="X397" s="1">
        <v>0.50027232797650101</v>
      </c>
    </row>
    <row r="398" spans="1:24" x14ac:dyDescent="0.3">
      <c r="A398" s="2">
        <v>45330</v>
      </c>
      <c r="B398" s="1" t="s">
        <v>34</v>
      </c>
      <c r="C398" s="1" t="s">
        <v>41</v>
      </c>
      <c r="D398" s="1" t="s">
        <v>27</v>
      </c>
      <c r="E398" s="1" t="s">
        <v>20</v>
      </c>
      <c r="F398" s="1">
        <v>29</v>
      </c>
      <c r="G398" s="1" t="str" cm="1">
        <f t="array" ref="G398">_xlfn.IFS(F398&lt;=25,"YOUTH",F398&lt;=48,"ADULT",TRUE,"SENIOR")</f>
        <v>ADULT</v>
      </c>
      <c r="H398" s="1" t="s">
        <v>21</v>
      </c>
      <c r="I398" s="1" t="s">
        <v>43</v>
      </c>
      <c r="J398" s="1" t="s">
        <v>23</v>
      </c>
      <c r="K398" s="1" t="s">
        <v>31</v>
      </c>
      <c r="L398" s="1">
        <v>44081</v>
      </c>
      <c r="M398" s="3">
        <f t="shared" si="18"/>
        <v>3.5593566389147249E-2</v>
      </c>
      <c r="N398" s="1">
        <v>1569</v>
      </c>
      <c r="O398" s="4">
        <f t="shared" si="19"/>
        <v>4.7401812688821749</v>
      </c>
      <c r="P398" s="1">
        <v>331</v>
      </c>
      <c r="Q398" s="1">
        <v>4570.6402776201403</v>
      </c>
      <c r="R398" s="1">
        <v>5878.1191110782802</v>
      </c>
      <c r="S398" s="5">
        <f t="shared" si="20"/>
        <v>5877.1191110782802</v>
      </c>
      <c r="T398" s="1">
        <v>883</v>
      </c>
      <c r="U398" s="1">
        <v>97</v>
      </c>
      <c r="V398" s="1">
        <v>53</v>
      </c>
      <c r="W398" s="1">
        <v>8176</v>
      </c>
      <c r="X398" s="1">
        <v>0.93561214573636797</v>
      </c>
    </row>
    <row r="399" spans="1:24" x14ac:dyDescent="0.3">
      <c r="A399" s="2">
        <v>45314</v>
      </c>
      <c r="B399" s="1" t="s">
        <v>17</v>
      </c>
      <c r="C399" s="1" t="s">
        <v>41</v>
      </c>
      <c r="D399" s="1" t="s">
        <v>19</v>
      </c>
      <c r="E399" s="1" t="s">
        <v>20</v>
      </c>
      <c r="F399" s="1">
        <v>18</v>
      </c>
      <c r="G399" s="1" t="str" cm="1">
        <f t="array" ref="G399">_xlfn.IFS(F399&lt;=25,"YOUTH",F399&lt;=48,"ADULT",TRUE,"SENIOR")</f>
        <v>YOUTH</v>
      </c>
      <c r="H399" s="1" t="s">
        <v>29</v>
      </c>
      <c r="I399" s="1" t="s">
        <v>22</v>
      </c>
      <c r="J399" s="1" t="s">
        <v>23</v>
      </c>
      <c r="K399" s="1" t="s">
        <v>39</v>
      </c>
      <c r="L399" s="1">
        <v>3402</v>
      </c>
      <c r="M399" s="3">
        <f t="shared" si="18"/>
        <v>6.9958847736625515E-2</v>
      </c>
      <c r="N399" s="1">
        <v>238</v>
      </c>
      <c r="O399" s="4">
        <f t="shared" si="19"/>
        <v>15.866666666666667</v>
      </c>
      <c r="P399" s="1">
        <v>15</v>
      </c>
      <c r="Q399" s="1">
        <v>216.23797997951701</v>
      </c>
      <c r="R399" s="1">
        <v>274.92871608336401</v>
      </c>
      <c r="S399" s="5">
        <f t="shared" si="20"/>
        <v>273.92871608336401</v>
      </c>
      <c r="T399" s="1">
        <v>83</v>
      </c>
      <c r="U399" s="1">
        <v>13</v>
      </c>
      <c r="V399" s="1">
        <v>1</v>
      </c>
      <c r="W399" s="1">
        <v>513</v>
      </c>
      <c r="X399" s="1">
        <v>0.67825453697838201</v>
      </c>
    </row>
    <row r="400" spans="1:24" x14ac:dyDescent="0.3">
      <c r="A400" s="2">
        <v>45318</v>
      </c>
      <c r="B400" s="1" t="s">
        <v>17</v>
      </c>
      <c r="C400" s="1" t="s">
        <v>26</v>
      </c>
      <c r="D400" s="1" t="s">
        <v>32</v>
      </c>
      <c r="E400" s="1" t="s">
        <v>28</v>
      </c>
      <c r="F400" s="1">
        <v>18</v>
      </c>
      <c r="G400" s="1" t="str" cm="1">
        <f t="array" ref="G400">_xlfn.IFS(F400&lt;=25,"YOUTH",F400&lt;=48,"ADULT",TRUE,"SENIOR")</f>
        <v>YOUTH</v>
      </c>
      <c r="H400" s="1" t="s">
        <v>29</v>
      </c>
      <c r="I400" s="1" t="s">
        <v>43</v>
      </c>
      <c r="J400" s="1" t="s">
        <v>23</v>
      </c>
      <c r="K400" s="1" t="s">
        <v>24</v>
      </c>
      <c r="L400" s="1">
        <v>14275</v>
      </c>
      <c r="M400" s="3">
        <f t="shared" si="18"/>
        <v>0.1478108581436077</v>
      </c>
      <c r="N400" s="1">
        <v>2110</v>
      </c>
      <c r="O400" s="4">
        <f t="shared" si="19"/>
        <v>8.0842911877394634</v>
      </c>
      <c r="P400" s="1">
        <v>261</v>
      </c>
      <c r="Q400" s="1">
        <v>349.53056881176798</v>
      </c>
      <c r="R400" s="1">
        <v>12260.311131018099</v>
      </c>
      <c r="S400" s="5">
        <f t="shared" si="20"/>
        <v>12259.311131018099</v>
      </c>
      <c r="T400" s="1">
        <v>330</v>
      </c>
      <c r="U400" s="1">
        <v>42</v>
      </c>
      <c r="V400" s="1">
        <v>30</v>
      </c>
      <c r="W400" s="1">
        <v>1000</v>
      </c>
      <c r="X400" s="1">
        <v>0.42437032521474599</v>
      </c>
    </row>
    <row r="401" spans="1:24" x14ac:dyDescent="0.3">
      <c r="A401" s="2">
        <v>45336</v>
      </c>
      <c r="B401" s="1" t="s">
        <v>25</v>
      </c>
      <c r="C401" s="1" t="s">
        <v>18</v>
      </c>
      <c r="D401" s="1" t="s">
        <v>19</v>
      </c>
      <c r="E401" s="1" t="s">
        <v>28</v>
      </c>
      <c r="F401" s="1">
        <v>51</v>
      </c>
      <c r="G401" s="1" t="str" cm="1">
        <f t="array" ref="G401">_xlfn.IFS(F401&lt;=25,"YOUTH",F401&lt;=48,"ADULT",TRUE,"SENIOR")</f>
        <v>SENIOR</v>
      </c>
      <c r="H401" s="1" t="s">
        <v>29</v>
      </c>
      <c r="I401" s="1" t="s">
        <v>22</v>
      </c>
      <c r="J401" s="1" t="s">
        <v>23</v>
      </c>
      <c r="K401" s="1" t="s">
        <v>31</v>
      </c>
      <c r="L401" s="1">
        <v>29182</v>
      </c>
      <c r="M401" s="3">
        <f t="shared" si="18"/>
        <v>5.1675690494140225E-2</v>
      </c>
      <c r="N401" s="1">
        <v>1508</v>
      </c>
      <c r="O401" s="4">
        <f t="shared" si="19"/>
        <v>5.5851851851851855</v>
      </c>
      <c r="P401" s="1">
        <v>270</v>
      </c>
      <c r="Q401" s="1">
        <v>1676.688776</v>
      </c>
      <c r="R401" s="1">
        <v>16197.360080624299</v>
      </c>
      <c r="S401" s="5">
        <f t="shared" si="20"/>
        <v>16196.360080624299</v>
      </c>
      <c r="T401" s="1">
        <v>657</v>
      </c>
      <c r="U401" s="1">
        <v>114</v>
      </c>
      <c r="V401" s="1">
        <v>15</v>
      </c>
      <c r="W401" s="1">
        <v>4524</v>
      </c>
      <c r="X401" s="1">
        <v>0.42605940318082702</v>
      </c>
    </row>
    <row r="402" spans="1:24" x14ac:dyDescent="0.3">
      <c r="A402" s="2">
        <v>45335</v>
      </c>
      <c r="B402" s="1" t="s">
        <v>17</v>
      </c>
      <c r="C402" s="1" t="s">
        <v>18</v>
      </c>
      <c r="D402" s="1" t="s">
        <v>19</v>
      </c>
      <c r="E402" s="1" t="s">
        <v>28</v>
      </c>
      <c r="F402" s="1">
        <v>49</v>
      </c>
      <c r="G402" s="1" t="str" cm="1">
        <f t="array" ref="G402">_xlfn.IFS(F402&lt;=25,"YOUTH",F402&lt;=48,"ADULT",TRUE,"SENIOR")</f>
        <v>SENIOR</v>
      </c>
      <c r="H402" s="1" t="s">
        <v>21</v>
      </c>
      <c r="I402" s="1" t="s">
        <v>43</v>
      </c>
      <c r="J402" s="1" t="s">
        <v>23</v>
      </c>
      <c r="K402" s="1" t="s">
        <v>24</v>
      </c>
      <c r="L402" s="1">
        <v>15915</v>
      </c>
      <c r="M402" s="3">
        <f t="shared" si="18"/>
        <v>9.3936537857367261E-2</v>
      </c>
      <c r="N402" s="1">
        <v>1495</v>
      </c>
      <c r="O402" s="4">
        <f t="shared" si="19"/>
        <v>6.0040160642570282</v>
      </c>
      <c r="P402" s="1">
        <v>249</v>
      </c>
      <c r="Q402" s="1">
        <v>1908.18028365592</v>
      </c>
      <c r="R402" s="1">
        <v>8887.5220180351607</v>
      </c>
      <c r="S402" s="5">
        <f t="shared" si="20"/>
        <v>8886.5220180351607</v>
      </c>
      <c r="T402" s="1">
        <v>364</v>
      </c>
      <c r="U402" s="1">
        <v>41</v>
      </c>
      <c r="V402" s="1">
        <v>16</v>
      </c>
      <c r="W402" s="1">
        <v>226</v>
      </c>
      <c r="X402" s="1">
        <v>0.89898237607756504</v>
      </c>
    </row>
    <row r="403" spans="1:24" x14ac:dyDescent="0.3">
      <c r="A403" s="2">
        <v>45309</v>
      </c>
      <c r="B403" s="1" t="s">
        <v>17</v>
      </c>
      <c r="C403" s="1" t="s">
        <v>41</v>
      </c>
      <c r="D403" s="1" t="s">
        <v>36</v>
      </c>
      <c r="E403" s="1" t="s">
        <v>28</v>
      </c>
      <c r="F403" s="1">
        <v>42</v>
      </c>
      <c r="G403" s="1" t="str" cm="1">
        <f t="array" ref="G403">_xlfn.IFS(F403&lt;=25,"YOUTH",F403&lt;=48,"ADULT",TRUE,"SENIOR")</f>
        <v>ADULT</v>
      </c>
      <c r="H403" s="1" t="s">
        <v>29</v>
      </c>
      <c r="I403" s="1" t="s">
        <v>33</v>
      </c>
      <c r="J403" s="1" t="s">
        <v>23</v>
      </c>
      <c r="K403" s="1" t="s">
        <v>39</v>
      </c>
      <c r="L403" s="1">
        <v>1909</v>
      </c>
      <c r="M403" s="3">
        <f t="shared" si="18"/>
        <v>0.11838658983761131</v>
      </c>
      <c r="N403" s="1">
        <v>226</v>
      </c>
      <c r="O403" s="4">
        <f t="shared" si="19"/>
        <v>5.5121951219512191</v>
      </c>
      <c r="P403" s="1">
        <v>41</v>
      </c>
      <c r="Q403" s="1">
        <v>89.122337549279393</v>
      </c>
      <c r="R403" s="1">
        <v>2142.33206017371</v>
      </c>
      <c r="S403" s="5">
        <f t="shared" si="20"/>
        <v>2141.33206017371</v>
      </c>
      <c r="T403" s="1">
        <v>31</v>
      </c>
      <c r="U403" s="1">
        <v>1</v>
      </c>
      <c r="V403" s="1">
        <v>2</v>
      </c>
      <c r="W403" s="1">
        <v>210</v>
      </c>
      <c r="X403" s="1">
        <v>0.88035079925729398</v>
      </c>
    </row>
    <row r="404" spans="1:24" x14ac:dyDescent="0.3">
      <c r="A404" s="2">
        <v>45315</v>
      </c>
      <c r="B404" s="1" t="s">
        <v>34</v>
      </c>
      <c r="C404" s="1" t="s">
        <v>26</v>
      </c>
      <c r="D404" s="1" t="s">
        <v>32</v>
      </c>
      <c r="E404" s="1" t="s">
        <v>20</v>
      </c>
      <c r="F404" s="1">
        <v>57</v>
      </c>
      <c r="G404" s="1" t="str" cm="1">
        <f t="array" ref="G404">_xlfn.IFS(F404&lt;=25,"YOUTH",F404&lt;=48,"ADULT",TRUE,"SENIOR")</f>
        <v>SENIOR</v>
      </c>
      <c r="H404" s="1" t="s">
        <v>29</v>
      </c>
      <c r="I404" s="1" t="s">
        <v>43</v>
      </c>
      <c r="J404" s="1" t="s">
        <v>38</v>
      </c>
      <c r="K404" s="1" t="s">
        <v>39</v>
      </c>
      <c r="L404" s="1">
        <v>49574</v>
      </c>
      <c r="M404" s="3">
        <f t="shared" si="18"/>
        <v>0.11487876709565498</v>
      </c>
      <c r="N404" s="1">
        <v>5695</v>
      </c>
      <c r="O404" s="4">
        <f t="shared" si="19"/>
        <v>13.992628992628992</v>
      </c>
      <c r="P404" s="1">
        <v>407</v>
      </c>
      <c r="Q404" s="1">
        <v>5581.2622767160701</v>
      </c>
      <c r="R404" s="1">
        <v>28472.273073099499</v>
      </c>
      <c r="S404" s="5">
        <f t="shared" si="20"/>
        <v>28471.273073099499</v>
      </c>
      <c r="T404" s="1">
        <v>835</v>
      </c>
      <c r="U404" s="1">
        <v>111</v>
      </c>
      <c r="V404" s="1">
        <v>51</v>
      </c>
      <c r="W404" s="1">
        <v>2853</v>
      </c>
      <c r="X404" s="1">
        <v>0.65211950881980496</v>
      </c>
    </row>
    <row r="405" spans="1:24" x14ac:dyDescent="0.3">
      <c r="A405" s="2">
        <v>45342</v>
      </c>
      <c r="B405" s="1" t="s">
        <v>17</v>
      </c>
      <c r="C405" s="1" t="s">
        <v>41</v>
      </c>
      <c r="D405" s="1" t="s">
        <v>32</v>
      </c>
      <c r="E405" s="1" t="s">
        <v>28</v>
      </c>
      <c r="F405" s="1">
        <v>18</v>
      </c>
      <c r="G405" s="1" t="str" cm="1">
        <f t="array" ref="G405">_xlfn.IFS(F405&lt;=25,"YOUTH",F405&lt;=48,"ADULT",TRUE,"SENIOR")</f>
        <v>YOUTH</v>
      </c>
      <c r="H405" s="1" t="s">
        <v>29</v>
      </c>
      <c r="I405" s="1" t="s">
        <v>33</v>
      </c>
      <c r="J405" s="1" t="s">
        <v>38</v>
      </c>
      <c r="K405" s="1" t="s">
        <v>31</v>
      </c>
      <c r="L405" s="1">
        <v>1372</v>
      </c>
      <c r="M405" s="3">
        <f t="shared" si="18"/>
        <v>5.5393586005830907E-2</v>
      </c>
      <c r="N405" s="1">
        <v>76</v>
      </c>
      <c r="O405" s="4">
        <f t="shared" si="19"/>
        <v>25.333333333333332</v>
      </c>
      <c r="P405" s="1">
        <v>3</v>
      </c>
      <c r="Q405" s="1">
        <v>130.849532720681</v>
      </c>
      <c r="R405" s="1">
        <v>208.10179974714001</v>
      </c>
      <c r="S405" s="5">
        <f t="shared" si="20"/>
        <v>207.10179974714001</v>
      </c>
      <c r="T405" s="1">
        <v>22</v>
      </c>
      <c r="U405" s="1">
        <v>1</v>
      </c>
      <c r="V405" s="1">
        <v>1</v>
      </c>
      <c r="W405" s="1">
        <v>43</v>
      </c>
      <c r="X405" s="1">
        <v>0.489772147269529</v>
      </c>
    </row>
    <row r="406" spans="1:24" x14ac:dyDescent="0.3">
      <c r="A406" s="2">
        <v>45338</v>
      </c>
      <c r="B406" s="1" t="s">
        <v>40</v>
      </c>
      <c r="C406" s="1" t="s">
        <v>35</v>
      </c>
      <c r="D406" s="1" t="s">
        <v>36</v>
      </c>
      <c r="E406" s="1" t="s">
        <v>28</v>
      </c>
      <c r="F406" s="1">
        <v>33</v>
      </c>
      <c r="G406" s="1" t="str" cm="1">
        <f t="array" ref="G406">_xlfn.IFS(F406&lt;=25,"YOUTH",F406&lt;=48,"ADULT",TRUE,"SENIOR")</f>
        <v>ADULT</v>
      </c>
      <c r="H406" s="1" t="s">
        <v>29</v>
      </c>
      <c r="I406" s="1" t="s">
        <v>33</v>
      </c>
      <c r="J406" s="1" t="s">
        <v>23</v>
      </c>
      <c r="K406" s="1" t="s">
        <v>31</v>
      </c>
      <c r="L406" s="1">
        <v>23620</v>
      </c>
      <c r="M406" s="3">
        <f t="shared" si="18"/>
        <v>9.5512277730736658E-2</v>
      </c>
      <c r="N406" s="1">
        <v>2256</v>
      </c>
      <c r="O406" s="4">
        <f t="shared" si="19"/>
        <v>4.3384615384615381</v>
      </c>
      <c r="P406" s="1">
        <v>520</v>
      </c>
      <c r="Q406" s="1">
        <v>1000.10370425577</v>
      </c>
      <c r="R406" s="1">
        <v>27758.5852873734</v>
      </c>
      <c r="S406" s="5">
        <f t="shared" si="20"/>
        <v>27757.5852873734</v>
      </c>
      <c r="T406" s="1">
        <v>137</v>
      </c>
      <c r="U406" s="1">
        <v>26</v>
      </c>
      <c r="V406" s="1">
        <v>8</v>
      </c>
      <c r="W406" s="1">
        <v>4202</v>
      </c>
      <c r="X406" s="1">
        <v>0.85665653349936299</v>
      </c>
    </row>
    <row r="407" spans="1:24" x14ac:dyDescent="0.3">
      <c r="A407" s="2">
        <v>45331</v>
      </c>
      <c r="B407" s="1" t="s">
        <v>25</v>
      </c>
      <c r="C407" s="1" t="s">
        <v>35</v>
      </c>
      <c r="D407" s="1" t="s">
        <v>19</v>
      </c>
      <c r="E407" s="1" t="s">
        <v>20</v>
      </c>
      <c r="F407" s="1">
        <v>56</v>
      </c>
      <c r="G407" s="1" t="str" cm="1">
        <f t="array" ref="G407">_xlfn.IFS(F407&lt;=25,"YOUTH",F407&lt;=48,"ADULT",TRUE,"SENIOR")</f>
        <v>SENIOR</v>
      </c>
      <c r="H407" s="1" t="s">
        <v>21</v>
      </c>
      <c r="I407" s="1" t="s">
        <v>43</v>
      </c>
      <c r="J407" s="1" t="s">
        <v>23</v>
      </c>
      <c r="K407" s="1" t="s">
        <v>39</v>
      </c>
      <c r="L407" s="1">
        <v>35112</v>
      </c>
      <c r="M407" s="3">
        <f t="shared" si="18"/>
        <v>0.13194919115971748</v>
      </c>
      <c r="N407" s="1">
        <v>4633</v>
      </c>
      <c r="O407" s="4">
        <f t="shared" si="19"/>
        <v>6.7242380261248185</v>
      </c>
      <c r="P407" s="1">
        <v>689</v>
      </c>
      <c r="Q407" s="1">
        <v>1896.4421258074301</v>
      </c>
      <c r="R407" s="1">
        <v>36567.380940240299</v>
      </c>
      <c r="S407" s="5">
        <f t="shared" si="20"/>
        <v>36566.380940240299</v>
      </c>
      <c r="T407" s="1">
        <v>387</v>
      </c>
      <c r="U407" s="1">
        <v>49</v>
      </c>
      <c r="V407" s="1">
        <v>14</v>
      </c>
      <c r="W407" s="1">
        <v>1680</v>
      </c>
      <c r="X407" s="1">
        <v>0.57853005900380705</v>
      </c>
    </row>
    <row r="408" spans="1:24" x14ac:dyDescent="0.3">
      <c r="A408" s="2">
        <v>45342</v>
      </c>
      <c r="B408" s="1" t="s">
        <v>17</v>
      </c>
      <c r="C408" s="1" t="s">
        <v>26</v>
      </c>
      <c r="D408" s="1" t="s">
        <v>36</v>
      </c>
      <c r="E408" s="1" t="s">
        <v>20</v>
      </c>
      <c r="F408" s="1">
        <v>22</v>
      </c>
      <c r="G408" s="1" t="str" cm="1">
        <f t="array" ref="G408">_xlfn.IFS(F408&lt;=25,"YOUTH",F408&lt;=48,"ADULT",TRUE,"SENIOR")</f>
        <v>YOUTH</v>
      </c>
      <c r="H408" s="1" t="s">
        <v>29</v>
      </c>
      <c r="I408" s="1" t="s">
        <v>22</v>
      </c>
      <c r="J408" s="1" t="s">
        <v>23</v>
      </c>
      <c r="K408" s="1" t="s">
        <v>39</v>
      </c>
      <c r="L408" s="1">
        <v>9515</v>
      </c>
      <c r="M408" s="3">
        <f t="shared" si="18"/>
        <v>1.208617971623752E-2</v>
      </c>
      <c r="N408" s="1">
        <v>115</v>
      </c>
      <c r="O408" s="4">
        <f t="shared" si="19"/>
        <v>19.166666666666668</v>
      </c>
      <c r="P408" s="1">
        <v>6</v>
      </c>
      <c r="Q408" s="1">
        <v>804.20274233259704</v>
      </c>
      <c r="R408" s="1">
        <v>126.571366007573</v>
      </c>
      <c r="S408" s="5">
        <f t="shared" si="20"/>
        <v>125.571366007573</v>
      </c>
      <c r="T408" s="1">
        <v>84</v>
      </c>
      <c r="U408" s="1">
        <v>11</v>
      </c>
      <c r="V408" s="1">
        <v>3</v>
      </c>
      <c r="W408" s="1">
        <v>1581</v>
      </c>
      <c r="X408" s="1">
        <v>0.63048211926470199</v>
      </c>
    </row>
    <row r="409" spans="1:24" x14ac:dyDescent="0.3">
      <c r="A409" s="2">
        <v>45333</v>
      </c>
      <c r="B409" s="1" t="s">
        <v>25</v>
      </c>
      <c r="C409" s="1" t="s">
        <v>26</v>
      </c>
      <c r="D409" s="1" t="s">
        <v>27</v>
      </c>
      <c r="E409" s="1" t="s">
        <v>28</v>
      </c>
      <c r="F409" s="1">
        <v>39</v>
      </c>
      <c r="G409" s="1" t="str" cm="1">
        <f t="array" ref="G409">_xlfn.IFS(F409&lt;=25,"YOUTH",F409&lt;=48,"ADULT",TRUE,"SENIOR")</f>
        <v>ADULT</v>
      </c>
      <c r="H409" s="1" t="s">
        <v>29</v>
      </c>
      <c r="I409" s="1" t="s">
        <v>22</v>
      </c>
      <c r="J409" s="1" t="s">
        <v>23</v>
      </c>
      <c r="K409" s="1" t="s">
        <v>31</v>
      </c>
      <c r="L409" s="1">
        <v>3431</v>
      </c>
      <c r="M409" s="3">
        <f t="shared" si="18"/>
        <v>7.0824832410375987E-2</v>
      </c>
      <c r="N409" s="1">
        <v>243</v>
      </c>
      <c r="O409" s="4">
        <f t="shared" si="19"/>
        <v>4.9591836734693882</v>
      </c>
      <c r="P409" s="1">
        <v>49</v>
      </c>
      <c r="Q409" s="1">
        <v>255.22766971925299</v>
      </c>
      <c r="R409" s="1">
        <v>2899.8237264669101</v>
      </c>
      <c r="S409" s="5">
        <f t="shared" si="20"/>
        <v>2898.8237264669101</v>
      </c>
      <c r="T409" s="1">
        <v>93</v>
      </c>
      <c r="U409" s="1">
        <v>17</v>
      </c>
      <c r="V409" s="1">
        <v>8</v>
      </c>
      <c r="W409" s="1">
        <v>303</v>
      </c>
      <c r="X409" s="1">
        <v>0.775362008477124</v>
      </c>
    </row>
    <row r="410" spans="1:24" x14ac:dyDescent="0.3">
      <c r="A410" s="2">
        <v>45298</v>
      </c>
      <c r="B410" s="1" t="s">
        <v>25</v>
      </c>
      <c r="C410" s="1" t="s">
        <v>35</v>
      </c>
      <c r="D410" s="1" t="s">
        <v>32</v>
      </c>
      <c r="E410" s="1" t="s">
        <v>20</v>
      </c>
      <c r="F410" s="1">
        <v>46</v>
      </c>
      <c r="G410" s="1" t="str" cm="1">
        <f t="array" ref="G410">_xlfn.IFS(F410&lt;=25,"YOUTH",F410&lt;=48,"ADULT",TRUE,"SENIOR")</f>
        <v>ADULT</v>
      </c>
      <c r="H410" s="1" t="s">
        <v>21</v>
      </c>
      <c r="I410" s="1" t="s">
        <v>37</v>
      </c>
      <c r="J410" s="1" t="s">
        <v>38</v>
      </c>
      <c r="K410" s="1" t="s">
        <v>39</v>
      </c>
      <c r="L410" s="1">
        <v>22054</v>
      </c>
      <c r="M410" s="3">
        <f t="shared" si="18"/>
        <v>4.1353042531966991E-2</v>
      </c>
      <c r="N410" s="1">
        <v>912</v>
      </c>
      <c r="O410" s="4">
        <f t="shared" si="19"/>
        <v>4.3428571428571425</v>
      </c>
      <c r="P410" s="1">
        <v>210</v>
      </c>
      <c r="Q410" s="1">
        <v>2673.2381221935102</v>
      </c>
      <c r="R410" s="1">
        <v>6579.6440341931902</v>
      </c>
      <c r="S410" s="5">
        <f t="shared" si="20"/>
        <v>6578.6440341931902</v>
      </c>
      <c r="T410" s="1">
        <v>261</v>
      </c>
      <c r="U410" s="1">
        <v>37</v>
      </c>
      <c r="V410" s="1">
        <v>10</v>
      </c>
      <c r="W410" s="1">
        <v>280</v>
      </c>
      <c r="X410" s="1">
        <v>0.59436909437420904</v>
      </c>
    </row>
    <row r="411" spans="1:24" x14ac:dyDescent="0.3">
      <c r="A411" s="2">
        <v>45341</v>
      </c>
      <c r="B411" s="1" t="s">
        <v>25</v>
      </c>
      <c r="C411" s="1" t="s">
        <v>18</v>
      </c>
      <c r="D411" s="1" t="s">
        <v>27</v>
      </c>
      <c r="E411" s="1" t="s">
        <v>20</v>
      </c>
      <c r="F411" s="1">
        <v>20</v>
      </c>
      <c r="G411" s="1" t="str" cm="1">
        <f t="array" ref="G411">_xlfn.IFS(F411&lt;=25,"YOUTH",F411&lt;=48,"ADULT",TRUE,"SENIOR")</f>
        <v>YOUTH</v>
      </c>
      <c r="H411" s="1" t="s">
        <v>21</v>
      </c>
      <c r="I411" s="1" t="s">
        <v>22</v>
      </c>
      <c r="J411" s="1" t="s">
        <v>38</v>
      </c>
      <c r="K411" s="1" t="s">
        <v>24</v>
      </c>
      <c r="L411" s="1">
        <v>33624</v>
      </c>
      <c r="M411" s="3">
        <f t="shared" si="18"/>
        <v>6.4388532000951695E-2</v>
      </c>
      <c r="N411" s="1">
        <v>2165</v>
      </c>
      <c r="O411" s="4">
        <f t="shared" si="19"/>
        <v>17.047244094488189</v>
      </c>
      <c r="P411" s="1">
        <v>127</v>
      </c>
      <c r="Q411" s="1">
        <v>3882.6508211136302</v>
      </c>
      <c r="R411" s="1">
        <v>8576.2597260000002</v>
      </c>
      <c r="S411" s="5">
        <f t="shared" si="20"/>
        <v>8575.2597260000002</v>
      </c>
      <c r="T411" s="1">
        <v>284</v>
      </c>
      <c r="U411" s="1">
        <v>27</v>
      </c>
      <c r="V411" s="1">
        <v>12</v>
      </c>
      <c r="W411" s="1">
        <v>5016</v>
      </c>
      <c r="X411" s="1">
        <v>0.74576845968406102</v>
      </c>
    </row>
    <row r="412" spans="1:24" x14ac:dyDescent="0.3">
      <c r="A412" s="2">
        <v>45339</v>
      </c>
      <c r="B412" s="1" t="s">
        <v>17</v>
      </c>
      <c r="C412" s="1" t="s">
        <v>26</v>
      </c>
      <c r="D412" s="1" t="s">
        <v>36</v>
      </c>
      <c r="E412" s="1" t="s">
        <v>28</v>
      </c>
      <c r="F412" s="1">
        <v>29</v>
      </c>
      <c r="G412" s="1" t="str" cm="1">
        <f t="array" ref="G412">_xlfn.IFS(F412&lt;=25,"YOUTH",F412&lt;=48,"ADULT",TRUE,"SENIOR")</f>
        <v>ADULT</v>
      </c>
      <c r="H412" s="1" t="s">
        <v>29</v>
      </c>
      <c r="I412" s="1" t="s">
        <v>37</v>
      </c>
      <c r="J412" s="1" t="s">
        <v>38</v>
      </c>
      <c r="K412" s="1" t="s">
        <v>24</v>
      </c>
      <c r="L412" s="1">
        <v>11585</v>
      </c>
      <c r="M412" s="3">
        <f t="shared" si="18"/>
        <v>6.8191627104013816E-2</v>
      </c>
      <c r="N412" s="1">
        <v>790</v>
      </c>
      <c r="O412" s="4">
        <f t="shared" si="19"/>
        <v>4.8170731707317076</v>
      </c>
      <c r="P412" s="1">
        <v>164</v>
      </c>
      <c r="Q412" s="1">
        <v>1097.0379309555301</v>
      </c>
      <c r="R412" s="1">
        <v>1688.01916161593</v>
      </c>
      <c r="S412" s="5">
        <f t="shared" si="20"/>
        <v>1687.01916161593</v>
      </c>
      <c r="T412" s="1">
        <v>92</v>
      </c>
      <c r="U412" s="1">
        <v>8</v>
      </c>
      <c r="V412" s="1">
        <v>4</v>
      </c>
      <c r="W412" s="1">
        <v>1428</v>
      </c>
      <c r="X412" s="1">
        <v>0.88690549074342095</v>
      </c>
    </row>
    <row r="413" spans="1:24" x14ac:dyDescent="0.3">
      <c r="A413" s="2">
        <v>45311</v>
      </c>
      <c r="B413" s="1" t="s">
        <v>17</v>
      </c>
      <c r="C413" s="1" t="s">
        <v>35</v>
      </c>
      <c r="D413" s="1" t="s">
        <v>32</v>
      </c>
      <c r="E413" s="1" t="s">
        <v>28</v>
      </c>
      <c r="F413" s="1">
        <v>43</v>
      </c>
      <c r="G413" s="1" t="str" cm="1">
        <f t="array" ref="G413">_xlfn.IFS(F413&lt;=25,"YOUTH",F413&lt;=48,"ADULT",TRUE,"SENIOR")</f>
        <v>ADULT</v>
      </c>
      <c r="H413" s="1" t="s">
        <v>21</v>
      </c>
      <c r="I413" s="1" t="s">
        <v>22</v>
      </c>
      <c r="J413" s="1" t="s">
        <v>38</v>
      </c>
      <c r="K413" s="1" t="s">
        <v>24</v>
      </c>
      <c r="L413" s="1">
        <v>49230</v>
      </c>
      <c r="M413" s="3">
        <f t="shared" si="18"/>
        <v>0.11452366443225676</v>
      </c>
      <c r="N413" s="1">
        <v>5638</v>
      </c>
      <c r="O413" s="4">
        <f t="shared" si="19"/>
        <v>4.2647503782148259</v>
      </c>
      <c r="P413" s="1">
        <v>1322</v>
      </c>
      <c r="Q413" s="1">
        <v>6247.0759259555698</v>
      </c>
      <c r="R413" s="1">
        <v>44061.762897233297</v>
      </c>
      <c r="S413" s="5">
        <f t="shared" si="20"/>
        <v>44060.762897233297</v>
      </c>
      <c r="T413" s="1">
        <v>1107</v>
      </c>
      <c r="U413" s="1">
        <v>138</v>
      </c>
      <c r="V413" s="1">
        <v>34</v>
      </c>
      <c r="W413" s="1">
        <v>3711</v>
      </c>
      <c r="X413" s="1">
        <v>0.83855529782596205</v>
      </c>
    </row>
    <row r="414" spans="1:24" x14ac:dyDescent="0.3">
      <c r="A414" s="2">
        <v>45318</v>
      </c>
      <c r="B414" s="1" t="s">
        <v>25</v>
      </c>
      <c r="C414" s="1" t="s">
        <v>35</v>
      </c>
      <c r="D414" s="1" t="s">
        <v>27</v>
      </c>
      <c r="E414" s="1" t="s">
        <v>28</v>
      </c>
      <c r="F414" s="1">
        <v>33</v>
      </c>
      <c r="G414" s="1" t="str" cm="1">
        <f t="array" ref="G414">_xlfn.IFS(F414&lt;=25,"YOUTH",F414&lt;=48,"ADULT",TRUE,"SENIOR")</f>
        <v>ADULT</v>
      </c>
      <c r="H414" s="1" t="s">
        <v>42</v>
      </c>
      <c r="I414" s="1" t="s">
        <v>22</v>
      </c>
      <c r="J414" s="1" t="s">
        <v>23</v>
      </c>
      <c r="K414" s="1" t="s">
        <v>31</v>
      </c>
      <c r="L414" s="1">
        <v>32958</v>
      </c>
      <c r="M414" s="3">
        <f t="shared" si="18"/>
        <v>2.3120334971782269E-2</v>
      </c>
      <c r="N414" s="1">
        <v>762</v>
      </c>
      <c r="O414" s="4">
        <f t="shared" si="19"/>
        <v>4.2569832402234633</v>
      </c>
      <c r="P414" s="1">
        <v>179</v>
      </c>
      <c r="Q414" s="1">
        <v>3069.94015384354</v>
      </c>
      <c r="R414" s="1">
        <v>7362.2040741974997</v>
      </c>
      <c r="S414" s="5">
        <f t="shared" si="20"/>
        <v>7361.2040741974997</v>
      </c>
      <c r="T414" s="1">
        <v>169</v>
      </c>
      <c r="U414" s="1">
        <v>30</v>
      </c>
      <c r="V414" s="1">
        <v>10</v>
      </c>
      <c r="W414" s="1">
        <v>2092</v>
      </c>
      <c r="X414" s="1">
        <v>0.60988609062693799</v>
      </c>
    </row>
    <row r="415" spans="1:24" x14ac:dyDescent="0.3">
      <c r="A415" s="2">
        <v>45297</v>
      </c>
      <c r="B415" s="1" t="s">
        <v>40</v>
      </c>
      <c r="C415" s="1" t="s">
        <v>18</v>
      </c>
      <c r="D415" s="1" t="s">
        <v>27</v>
      </c>
      <c r="E415" s="1" t="s">
        <v>28</v>
      </c>
      <c r="F415" s="1">
        <v>54</v>
      </c>
      <c r="G415" s="1" t="str" cm="1">
        <f t="array" ref="G415">_xlfn.IFS(F415&lt;=25,"YOUTH",F415&lt;=48,"ADULT",TRUE,"SENIOR")</f>
        <v>SENIOR</v>
      </c>
      <c r="H415" s="1" t="s">
        <v>29</v>
      </c>
      <c r="I415" s="1" t="s">
        <v>33</v>
      </c>
      <c r="J415" s="1" t="s">
        <v>38</v>
      </c>
      <c r="K415" s="1" t="s">
        <v>31</v>
      </c>
      <c r="L415" s="1">
        <v>2695</v>
      </c>
      <c r="M415" s="3">
        <f t="shared" si="18"/>
        <v>8.1632653061224483E-2</v>
      </c>
      <c r="N415" s="1">
        <v>220</v>
      </c>
      <c r="O415" s="4">
        <f t="shared" si="19"/>
        <v>4.4000000000000004</v>
      </c>
      <c r="P415" s="1">
        <v>50</v>
      </c>
      <c r="Q415" s="1">
        <v>391.77377606987102</v>
      </c>
      <c r="R415" s="1">
        <v>1566.75767303003</v>
      </c>
      <c r="S415" s="5">
        <f t="shared" si="20"/>
        <v>1565.75767303003</v>
      </c>
      <c r="T415" s="1">
        <v>45</v>
      </c>
      <c r="U415" s="1">
        <v>7</v>
      </c>
      <c r="V415" s="1">
        <v>3</v>
      </c>
      <c r="W415" s="1">
        <v>64</v>
      </c>
      <c r="X415" s="1">
        <v>0.55836510508705395</v>
      </c>
    </row>
    <row r="416" spans="1:24" x14ac:dyDescent="0.3">
      <c r="A416" s="2">
        <v>45318</v>
      </c>
      <c r="B416" s="1" t="s">
        <v>25</v>
      </c>
      <c r="C416" s="1" t="s">
        <v>18</v>
      </c>
      <c r="D416" s="1" t="s">
        <v>19</v>
      </c>
      <c r="E416" s="1" t="s">
        <v>20</v>
      </c>
      <c r="F416" s="1">
        <v>39</v>
      </c>
      <c r="G416" s="1" t="str" cm="1">
        <f t="array" ref="G416">_xlfn.IFS(F416&lt;=25,"YOUTH",F416&lt;=48,"ADULT",TRUE,"SENIOR")</f>
        <v>ADULT</v>
      </c>
      <c r="H416" s="1" t="s">
        <v>21</v>
      </c>
      <c r="I416" s="1" t="s">
        <v>37</v>
      </c>
      <c r="J416" s="1" t="s">
        <v>23</v>
      </c>
      <c r="K416" s="1" t="s">
        <v>39</v>
      </c>
      <c r="L416" s="1">
        <v>35675</v>
      </c>
      <c r="M416" s="3">
        <f t="shared" si="18"/>
        <v>8.8969866853538887E-2</v>
      </c>
      <c r="N416" s="1">
        <v>3174</v>
      </c>
      <c r="O416" s="4">
        <f t="shared" si="19"/>
        <v>6.8701298701298699</v>
      </c>
      <c r="P416" s="1">
        <v>462</v>
      </c>
      <c r="Q416" s="1">
        <v>1720.93106583792</v>
      </c>
      <c r="R416" s="1">
        <v>8633.6930909999992</v>
      </c>
      <c r="S416" s="5">
        <f t="shared" si="20"/>
        <v>8632.6930909999992</v>
      </c>
      <c r="T416" s="1">
        <v>284</v>
      </c>
      <c r="U416" s="1">
        <v>55</v>
      </c>
      <c r="V416" s="1">
        <v>23</v>
      </c>
      <c r="W416" s="1">
        <v>6737</v>
      </c>
      <c r="X416" s="1">
        <v>0.55703074680675702</v>
      </c>
    </row>
    <row r="417" spans="1:24" x14ac:dyDescent="0.3">
      <c r="A417" s="2">
        <v>45300</v>
      </c>
      <c r="B417" s="1" t="s">
        <v>40</v>
      </c>
      <c r="C417" s="1" t="s">
        <v>18</v>
      </c>
      <c r="D417" s="1" t="s">
        <v>32</v>
      </c>
      <c r="E417" s="1" t="s">
        <v>20</v>
      </c>
      <c r="F417" s="1">
        <v>46</v>
      </c>
      <c r="G417" s="1" t="str" cm="1">
        <f t="array" ref="G417">_xlfn.IFS(F417&lt;=25,"YOUTH",F417&lt;=48,"ADULT",TRUE,"SENIOR")</f>
        <v>ADULT</v>
      </c>
      <c r="H417" s="1" t="s">
        <v>21</v>
      </c>
      <c r="I417" s="1" t="s">
        <v>22</v>
      </c>
      <c r="J417" s="1" t="s">
        <v>38</v>
      </c>
      <c r="K417" s="1" t="s">
        <v>31</v>
      </c>
      <c r="L417" s="1">
        <v>34787</v>
      </c>
      <c r="M417" s="3">
        <f t="shared" si="18"/>
        <v>7.9167505102480815E-2</v>
      </c>
      <c r="N417" s="1">
        <v>2754</v>
      </c>
      <c r="O417" s="4">
        <f t="shared" si="19"/>
        <v>9.8357142857142854</v>
      </c>
      <c r="P417" s="1">
        <v>280</v>
      </c>
      <c r="Q417" s="1">
        <v>3925.26625598695</v>
      </c>
      <c r="R417" s="1">
        <v>12192.390495841601</v>
      </c>
      <c r="S417" s="5">
        <f t="shared" si="20"/>
        <v>12191.390495841601</v>
      </c>
      <c r="T417" s="1">
        <v>912</v>
      </c>
      <c r="U417" s="1">
        <v>55</v>
      </c>
      <c r="V417" s="1">
        <v>70</v>
      </c>
      <c r="W417" s="1">
        <v>3612</v>
      </c>
      <c r="X417" s="1">
        <v>0.59172513270712002</v>
      </c>
    </row>
    <row r="418" spans="1:24" x14ac:dyDescent="0.3">
      <c r="A418" s="2">
        <v>45344</v>
      </c>
      <c r="B418" s="1" t="s">
        <v>25</v>
      </c>
      <c r="C418" s="1" t="s">
        <v>18</v>
      </c>
      <c r="D418" s="1" t="s">
        <v>27</v>
      </c>
      <c r="E418" s="1" t="s">
        <v>28</v>
      </c>
      <c r="F418" s="1">
        <v>31</v>
      </c>
      <c r="G418" s="1" t="str" cm="1">
        <f t="array" ref="G418">_xlfn.IFS(F418&lt;=25,"YOUTH",F418&lt;=48,"ADULT",TRUE,"SENIOR")</f>
        <v>ADULT</v>
      </c>
      <c r="H418" s="1" t="s">
        <v>21</v>
      </c>
      <c r="I418" s="1" t="s">
        <v>37</v>
      </c>
      <c r="J418" s="1" t="s">
        <v>23</v>
      </c>
      <c r="K418" s="1" t="s">
        <v>31</v>
      </c>
      <c r="L418" s="1">
        <v>45225</v>
      </c>
      <c r="M418" s="3">
        <f t="shared" si="18"/>
        <v>0.11245992260917634</v>
      </c>
      <c r="N418" s="1">
        <v>5086</v>
      </c>
      <c r="O418" s="4">
        <f t="shared" si="19"/>
        <v>46.236363636363635</v>
      </c>
      <c r="P418" s="1">
        <v>110</v>
      </c>
      <c r="Q418" s="1">
        <v>3079.49403838123</v>
      </c>
      <c r="R418" s="1">
        <v>5954.8130895697304</v>
      </c>
      <c r="S418" s="5">
        <f t="shared" si="20"/>
        <v>5953.8130895697304</v>
      </c>
      <c r="T418" s="1">
        <v>1309</v>
      </c>
      <c r="U418" s="1">
        <v>118</v>
      </c>
      <c r="V418" s="1">
        <v>41</v>
      </c>
      <c r="W418" s="1">
        <v>1187</v>
      </c>
      <c r="X418" s="1">
        <v>0.67143434269862401</v>
      </c>
    </row>
    <row r="419" spans="1:24" x14ac:dyDescent="0.3">
      <c r="A419" s="2">
        <v>45336</v>
      </c>
      <c r="B419" s="1" t="s">
        <v>34</v>
      </c>
      <c r="C419" s="1" t="s">
        <v>41</v>
      </c>
      <c r="D419" s="1" t="s">
        <v>27</v>
      </c>
      <c r="E419" s="1" t="s">
        <v>28</v>
      </c>
      <c r="F419" s="1">
        <v>45</v>
      </c>
      <c r="G419" s="1" t="str" cm="1">
        <f t="array" ref="G419">_xlfn.IFS(F419&lt;=25,"YOUTH",F419&lt;=48,"ADULT",TRUE,"SENIOR")</f>
        <v>ADULT</v>
      </c>
      <c r="H419" s="1" t="s">
        <v>29</v>
      </c>
      <c r="I419" s="1" t="s">
        <v>33</v>
      </c>
      <c r="J419" s="1" t="s">
        <v>38</v>
      </c>
      <c r="K419" s="1" t="s">
        <v>31</v>
      </c>
      <c r="L419" s="1">
        <v>2403</v>
      </c>
      <c r="M419" s="3">
        <f t="shared" si="18"/>
        <v>6.3670411985018729E-2</v>
      </c>
      <c r="N419" s="1">
        <v>153</v>
      </c>
      <c r="O419" s="4">
        <f t="shared" si="19"/>
        <v>30.6</v>
      </c>
      <c r="P419" s="1">
        <v>5</v>
      </c>
      <c r="Q419" s="1">
        <v>135.20624947492399</v>
      </c>
      <c r="R419" s="1">
        <v>234.57254370656301</v>
      </c>
      <c r="S419" s="5">
        <f t="shared" si="20"/>
        <v>233.57254370656301</v>
      </c>
      <c r="T419" s="1">
        <v>69</v>
      </c>
      <c r="U419" s="1">
        <v>4</v>
      </c>
      <c r="V419" s="1">
        <v>3</v>
      </c>
      <c r="W419" s="1">
        <v>420</v>
      </c>
      <c r="X419" s="1">
        <v>0.62912861438166801</v>
      </c>
    </row>
    <row r="420" spans="1:24" x14ac:dyDescent="0.3">
      <c r="A420" s="2">
        <v>45348</v>
      </c>
      <c r="B420" s="1" t="s">
        <v>25</v>
      </c>
      <c r="C420" s="1" t="s">
        <v>18</v>
      </c>
      <c r="D420" s="1" t="s">
        <v>19</v>
      </c>
      <c r="E420" s="1" t="s">
        <v>20</v>
      </c>
      <c r="F420" s="1">
        <v>22</v>
      </c>
      <c r="G420" s="1" t="str" cm="1">
        <f t="array" ref="G420">_xlfn.IFS(F420&lt;=25,"YOUTH",F420&lt;=48,"ADULT",TRUE,"SENIOR")</f>
        <v>YOUTH</v>
      </c>
      <c r="H420" s="1" t="s">
        <v>29</v>
      </c>
      <c r="I420" s="1" t="s">
        <v>33</v>
      </c>
      <c r="J420" s="1" t="s">
        <v>38</v>
      </c>
      <c r="K420" s="1" t="s">
        <v>31</v>
      </c>
      <c r="L420" s="1">
        <v>18810</v>
      </c>
      <c r="M420" s="3">
        <f t="shared" si="18"/>
        <v>0.14226475279106859</v>
      </c>
      <c r="N420" s="1">
        <v>2676</v>
      </c>
      <c r="O420" s="4">
        <f t="shared" si="19"/>
        <v>8.4416403785488967</v>
      </c>
      <c r="P420" s="1">
        <v>317</v>
      </c>
      <c r="Q420" s="1">
        <v>817.30149498384799</v>
      </c>
      <c r="R420" s="1">
        <v>6415.8185296896499</v>
      </c>
      <c r="S420" s="5">
        <f t="shared" si="20"/>
        <v>6414.8185296896499</v>
      </c>
      <c r="T420" s="1">
        <v>301</v>
      </c>
      <c r="U420" s="1">
        <v>48</v>
      </c>
      <c r="V420" s="1">
        <v>6</v>
      </c>
      <c r="W420" s="1">
        <v>1184</v>
      </c>
      <c r="X420" s="1">
        <v>0.47315221154321102</v>
      </c>
    </row>
    <row r="421" spans="1:24" x14ac:dyDescent="0.3">
      <c r="A421" s="2">
        <v>45322</v>
      </c>
      <c r="B421" s="1" t="s">
        <v>25</v>
      </c>
      <c r="C421" s="1" t="s">
        <v>41</v>
      </c>
      <c r="D421" s="1" t="s">
        <v>27</v>
      </c>
      <c r="E421" s="1" t="s">
        <v>28</v>
      </c>
      <c r="F421" s="1">
        <v>47</v>
      </c>
      <c r="G421" s="1" t="str" cm="1">
        <f t="array" ref="G421">_xlfn.IFS(F421&lt;=25,"YOUTH",F421&lt;=48,"ADULT",TRUE,"SENIOR")</f>
        <v>ADULT</v>
      </c>
      <c r="H421" s="1" t="s">
        <v>21</v>
      </c>
      <c r="I421" s="1" t="s">
        <v>37</v>
      </c>
      <c r="J421" s="1" t="s">
        <v>23</v>
      </c>
      <c r="K421" s="1" t="s">
        <v>31</v>
      </c>
      <c r="L421" s="1">
        <v>9855</v>
      </c>
      <c r="M421" s="3">
        <f t="shared" si="18"/>
        <v>7.7422628107559621E-2</v>
      </c>
      <c r="N421" s="1">
        <v>763</v>
      </c>
      <c r="O421" s="4">
        <f t="shared" si="19"/>
        <v>8.9764705882352942</v>
      </c>
      <c r="P421" s="1">
        <v>85</v>
      </c>
      <c r="Q421" s="1">
        <v>904.93982860000006</v>
      </c>
      <c r="R421" s="1">
        <v>4467.1338926360904</v>
      </c>
      <c r="S421" s="5">
        <f t="shared" si="20"/>
        <v>4466.1338926360904</v>
      </c>
      <c r="T421" s="1">
        <v>208</v>
      </c>
      <c r="U421" s="1">
        <v>14</v>
      </c>
      <c r="V421" s="1">
        <v>4</v>
      </c>
      <c r="W421" s="1">
        <v>479</v>
      </c>
      <c r="X421" s="1">
        <v>0.48990072208364899</v>
      </c>
    </row>
    <row r="422" spans="1:24" x14ac:dyDescent="0.3">
      <c r="A422" s="2">
        <v>45312</v>
      </c>
      <c r="B422" s="1" t="s">
        <v>17</v>
      </c>
      <c r="C422" s="1" t="s">
        <v>26</v>
      </c>
      <c r="D422" s="1" t="s">
        <v>27</v>
      </c>
      <c r="E422" s="1" t="s">
        <v>28</v>
      </c>
      <c r="F422" s="1">
        <v>22</v>
      </c>
      <c r="G422" s="1" t="str" cm="1">
        <f t="array" ref="G422">_xlfn.IFS(F422&lt;=25,"YOUTH",F422&lt;=48,"ADULT",TRUE,"SENIOR")</f>
        <v>YOUTH</v>
      </c>
      <c r="H422" s="1" t="s">
        <v>42</v>
      </c>
      <c r="I422" s="1" t="s">
        <v>33</v>
      </c>
      <c r="J422" s="1" t="s">
        <v>23</v>
      </c>
      <c r="K422" s="1" t="s">
        <v>31</v>
      </c>
      <c r="L422" s="1">
        <v>39636</v>
      </c>
      <c r="M422" s="3">
        <f t="shared" si="18"/>
        <v>8.9968715309314759E-2</v>
      </c>
      <c r="N422" s="1">
        <v>3566</v>
      </c>
      <c r="O422" s="4">
        <f t="shared" si="19"/>
        <v>16.063063063063062</v>
      </c>
      <c r="P422" s="1">
        <v>222</v>
      </c>
      <c r="Q422" s="1">
        <v>1902.9650367382001</v>
      </c>
      <c r="R422" s="1">
        <v>4817.0353412230397</v>
      </c>
      <c r="S422" s="5">
        <f t="shared" si="20"/>
        <v>4816.0353412230397</v>
      </c>
      <c r="T422" s="1">
        <v>792</v>
      </c>
      <c r="U422" s="1">
        <v>51</v>
      </c>
      <c r="V422" s="1">
        <v>43</v>
      </c>
      <c r="W422" s="1">
        <v>2512</v>
      </c>
      <c r="X422" s="1">
        <v>0.58861128516899996</v>
      </c>
    </row>
    <row r="423" spans="1:24" x14ac:dyDescent="0.3">
      <c r="A423" s="2">
        <v>45317</v>
      </c>
      <c r="B423" s="1" t="s">
        <v>40</v>
      </c>
      <c r="C423" s="1" t="s">
        <v>35</v>
      </c>
      <c r="D423" s="1" t="s">
        <v>27</v>
      </c>
      <c r="E423" s="1" t="s">
        <v>28</v>
      </c>
      <c r="F423" s="1">
        <v>29</v>
      </c>
      <c r="G423" s="1" t="str" cm="1">
        <f t="array" ref="G423">_xlfn.IFS(F423&lt;=25,"YOUTH",F423&lt;=48,"ADULT",TRUE,"SENIOR")</f>
        <v>ADULT</v>
      </c>
      <c r="H423" s="1" t="s">
        <v>21</v>
      </c>
      <c r="I423" s="1" t="s">
        <v>43</v>
      </c>
      <c r="J423" s="1" t="s">
        <v>38</v>
      </c>
      <c r="K423" s="1" t="s">
        <v>31</v>
      </c>
      <c r="L423" s="1">
        <v>11839</v>
      </c>
      <c r="M423" s="3">
        <f t="shared" si="18"/>
        <v>0.12551735788495649</v>
      </c>
      <c r="N423" s="1">
        <v>1486</v>
      </c>
      <c r="O423" s="4">
        <f t="shared" si="19"/>
        <v>9.0609756097560972</v>
      </c>
      <c r="P423" s="1">
        <v>164</v>
      </c>
      <c r="Q423" s="1">
        <v>545.13398493869795</v>
      </c>
      <c r="R423" s="1">
        <v>2687.6571887702598</v>
      </c>
      <c r="S423" s="5">
        <f t="shared" si="20"/>
        <v>2686.6571887702598</v>
      </c>
      <c r="T423" s="1">
        <v>162</v>
      </c>
      <c r="U423" s="1">
        <v>21</v>
      </c>
      <c r="V423" s="1">
        <v>6</v>
      </c>
      <c r="W423" s="1">
        <v>1388</v>
      </c>
      <c r="X423" s="1">
        <v>0.70913525503237096</v>
      </c>
    </row>
    <row r="424" spans="1:24" x14ac:dyDescent="0.3">
      <c r="A424" s="2">
        <v>45331</v>
      </c>
      <c r="B424" s="1" t="s">
        <v>34</v>
      </c>
      <c r="C424" s="1" t="s">
        <v>41</v>
      </c>
      <c r="D424" s="1" t="s">
        <v>19</v>
      </c>
      <c r="E424" s="1" t="s">
        <v>28</v>
      </c>
      <c r="F424" s="1">
        <v>33</v>
      </c>
      <c r="G424" s="1" t="str" cm="1">
        <f t="array" ref="G424">_xlfn.IFS(F424&lt;=25,"YOUTH",F424&lt;=48,"ADULT",TRUE,"SENIOR")</f>
        <v>ADULT</v>
      </c>
      <c r="H424" s="1" t="s">
        <v>29</v>
      </c>
      <c r="I424" s="1" t="s">
        <v>43</v>
      </c>
      <c r="J424" s="1" t="s">
        <v>23</v>
      </c>
      <c r="K424" s="1" t="s">
        <v>31</v>
      </c>
      <c r="L424" s="1">
        <v>1010</v>
      </c>
      <c r="M424" s="3">
        <f t="shared" si="18"/>
        <v>4.8514851485148516E-2</v>
      </c>
      <c r="N424" s="1">
        <v>49</v>
      </c>
      <c r="O424" s="4">
        <f t="shared" si="19"/>
        <v>24.5</v>
      </c>
      <c r="P424" s="1">
        <v>2</v>
      </c>
      <c r="Q424" s="1">
        <v>150.25683913750501</v>
      </c>
      <c r="R424" s="1">
        <v>99.786842007033798</v>
      </c>
      <c r="S424" s="5">
        <f t="shared" si="20"/>
        <v>98.786842007033798</v>
      </c>
      <c r="T424" s="1">
        <v>16</v>
      </c>
      <c r="U424" s="1">
        <v>1</v>
      </c>
      <c r="V424" s="1">
        <v>1</v>
      </c>
      <c r="W424" s="1">
        <v>24</v>
      </c>
      <c r="X424" s="1">
        <v>0.72596517257342197</v>
      </c>
    </row>
    <row r="425" spans="1:24" x14ac:dyDescent="0.3">
      <c r="A425" s="2">
        <v>45339</v>
      </c>
      <c r="B425" s="1" t="s">
        <v>40</v>
      </c>
      <c r="C425" s="1" t="s">
        <v>26</v>
      </c>
      <c r="D425" s="1" t="s">
        <v>27</v>
      </c>
      <c r="E425" s="1" t="s">
        <v>20</v>
      </c>
      <c r="F425" s="1">
        <v>43</v>
      </c>
      <c r="G425" s="1" t="str" cm="1">
        <f t="array" ref="G425">_xlfn.IFS(F425&lt;=25,"YOUTH",F425&lt;=48,"ADULT",TRUE,"SENIOR")</f>
        <v>ADULT</v>
      </c>
      <c r="H425" s="1" t="s">
        <v>21</v>
      </c>
      <c r="I425" s="1" t="s">
        <v>33</v>
      </c>
      <c r="J425" s="1" t="s">
        <v>23</v>
      </c>
      <c r="K425" s="1" t="s">
        <v>39</v>
      </c>
      <c r="L425" s="1">
        <v>40098</v>
      </c>
      <c r="M425" s="3">
        <f t="shared" si="18"/>
        <v>2.0524714449598483E-2</v>
      </c>
      <c r="N425" s="1">
        <v>823</v>
      </c>
      <c r="O425" s="4">
        <f t="shared" si="19"/>
        <v>4.6497175141242941</v>
      </c>
      <c r="P425" s="1">
        <v>177</v>
      </c>
      <c r="Q425" s="1">
        <v>4981.2608296885701</v>
      </c>
      <c r="R425" s="1">
        <v>10581.267266540701</v>
      </c>
      <c r="S425" s="5">
        <f t="shared" si="20"/>
        <v>10580.267266540701</v>
      </c>
      <c r="T425" s="1">
        <v>264</v>
      </c>
      <c r="U425" s="1">
        <v>41</v>
      </c>
      <c r="V425" s="1">
        <v>20</v>
      </c>
      <c r="W425" s="1">
        <v>4071</v>
      </c>
      <c r="X425" s="1">
        <v>0.66741388569314597</v>
      </c>
    </row>
    <row r="426" spans="1:24" x14ac:dyDescent="0.3">
      <c r="A426" s="2">
        <v>45336</v>
      </c>
      <c r="B426" s="1" t="s">
        <v>34</v>
      </c>
      <c r="C426" s="1" t="s">
        <v>26</v>
      </c>
      <c r="D426" s="1" t="s">
        <v>27</v>
      </c>
      <c r="E426" s="1" t="s">
        <v>28</v>
      </c>
      <c r="F426" s="1">
        <v>43</v>
      </c>
      <c r="G426" s="1" t="str" cm="1">
        <f t="array" ref="G426">_xlfn.IFS(F426&lt;=25,"YOUTH",F426&lt;=48,"ADULT",TRUE,"SENIOR")</f>
        <v>ADULT</v>
      </c>
      <c r="H426" s="1" t="s">
        <v>21</v>
      </c>
      <c r="I426" s="1" t="s">
        <v>43</v>
      </c>
      <c r="J426" s="1" t="s">
        <v>23</v>
      </c>
      <c r="K426" s="1" t="s">
        <v>39</v>
      </c>
      <c r="L426" s="1">
        <v>48829</v>
      </c>
      <c r="M426" s="3">
        <f t="shared" si="18"/>
        <v>0.10907452538450511</v>
      </c>
      <c r="N426" s="1">
        <v>5326</v>
      </c>
      <c r="O426" s="4">
        <f t="shared" si="19"/>
        <v>11.307855626326964</v>
      </c>
      <c r="P426" s="1">
        <v>471</v>
      </c>
      <c r="Q426" s="1">
        <v>5726.4691513061098</v>
      </c>
      <c r="R426" s="1">
        <v>17097.330191230601</v>
      </c>
      <c r="S426" s="5">
        <f t="shared" si="20"/>
        <v>17096.330191230601</v>
      </c>
      <c r="T426" s="1">
        <v>1215</v>
      </c>
      <c r="U426" s="1">
        <v>149</v>
      </c>
      <c r="V426" s="1">
        <v>111</v>
      </c>
      <c r="W426" s="1">
        <v>8798</v>
      </c>
      <c r="X426" s="1">
        <v>0.80632673499999996</v>
      </c>
    </row>
    <row r="427" spans="1:24" x14ac:dyDescent="0.3">
      <c r="A427" s="2">
        <v>45304</v>
      </c>
      <c r="B427" s="1" t="s">
        <v>25</v>
      </c>
      <c r="C427" s="1" t="s">
        <v>41</v>
      </c>
      <c r="D427" s="1" t="s">
        <v>32</v>
      </c>
      <c r="E427" s="1" t="s">
        <v>20</v>
      </c>
      <c r="F427" s="1">
        <v>38</v>
      </c>
      <c r="G427" s="1" t="str" cm="1">
        <f t="array" ref="G427">_xlfn.IFS(F427&lt;=25,"YOUTH",F427&lt;=48,"ADULT",TRUE,"SENIOR")</f>
        <v>ADULT</v>
      </c>
      <c r="H427" s="1" t="s">
        <v>29</v>
      </c>
      <c r="I427" s="1" t="s">
        <v>22</v>
      </c>
      <c r="J427" s="1" t="s">
        <v>23</v>
      </c>
      <c r="K427" s="1" t="s">
        <v>39</v>
      </c>
      <c r="L427" s="1">
        <v>10230</v>
      </c>
      <c r="M427" s="3">
        <f t="shared" si="18"/>
        <v>7.7614858260019556E-2</v>
      </c>
      <c r="N427" s="1">
        <v>794</v>
      </c>
      <c r="O427" s="4">
        <f t="shared" si="19"/>
        <v>6.3520000000000003</v>
      </c>
      <c r="P427" s="1">
        <v>125</v>
      </c>
      <c r="Q427" s="1">
        <v>1260.62122636147</v>
      </c>
      <c r="R427" s="1">
        <v>4942.5583192497998</v>
      </c>
      <c r="S427" s="5">
        <f t="shared" si="20"/>
        <v>4941.5583192497998</v>
      </c>
      <c r="T427" s="1">
        <v>112</v>
      </c>
      <c r="U427" s="1">
        <v>12</v>
      </c>
      <c r="V427" s="1">
        <v>9</v>
      </c>
      <c r="W427" s="1">
        <v>468</v>
      </c>
      <c r="X427" s="1">
        <v>0.80548683381620501</v>
      </c>
    </row>
    <row r="428" spans="1:24" x14ac:dyDescent="0.3">
      <c r="A428" s="2">
        <v>45340</v>
      </c>
      <c r="B428" s="1" t="s">
        <v>17</v>
      </c>
      <c r="C428" s="1" t="s">
        <v>26</v>
      </c>
      <c r="D428" s="1" t="s">
        <v>32</v>
      </c>
      <c r="E428" s="1" t="s">
        <v>28</v>
      </c>
      <c r="F428" s="1">
        <v>56</v>
      </c>
      <c r="G428" s="1" t="str" cm="1">
        <f t="array" ref="G428">_xlfn.IFS(F428&lt;=25,"YOUTH",F428&lt;=48,"ADULT",TRUE,"SENIOR")</f>
        <v>SENIOR</v>
      </c>
      <c r="H428" s="1" t="s">
        <v>29</v>
      </c>
      <c r="I428" s="1" t="s">
        <v>37</v>
      </c>
      <c r="J428" s="1" t="s">
        <v>38</v>
      </c>
      <c r="K428" s="1" t="s">
        <v>31</v>
      </c>
      <c r="L428" s="1">
        <v>41232</v>
      </c>
      <c r="M428" s="3">
        <f t="shared" si="18"/>
        <v>0.13550155219247187</v>
      </c>
      <c r="N428" s="1">
        <v>5587</v>
      </c>
      <c r="O428" s="4">
        <f t="shared" si="19"/>
        <v>7.380449141347424</v>
      </c>
      <c r="P428" s="1">
        <v>757</v>
      </c>
      <c r="Q428" s="1">
        <v>6018.2216307922499</v>
      </c>
      <c r="R428" s="1">
        <v>18681.6942050369</v>
      </c>
      <c r="S428" s="5">
        <f t="shared" si="20"/>
        <v>18680.6942050369</v>
      </c>
      <c r="T428" s="1">
        <v>680</v>
      </c>
      <c r="U428" s="1">
        <v>77</v>
      </c>
      <c r="V428" s="1">
        <v>16</v>
      </c>
      <c r="W428" s="1">
        <v>3006</v>
      </c>
      <c r="X428" s="1">
        <v>0.63519510942806301</v>
      </c>
    </row>
    <row r="429" spans="1:24" x14ac:dyDescent="0.3">
      <c r="A429" s="2">
        <v>45314</v>
      </c>
      <c r="B429" s="1" t="s">
        <v>17</v>
      </c>
      <c r="C429" s="1" t="s">
        <v>26</v>
      </c>
      <c r="D429" s="1" t="s">
        <v>19</v>
      </c>
      <c r="E429" s="1" t="s">
        <v>28</v>
      </c>
      <c r="F429" s="1">
        <v>53</v>
      </c>
      <c r="G429" s="1" t="str" cm="1">
        <f t="array" ref="G429">_xlfn.IFS(F429&lt;=25,"YOUTH",F429&lt;=48,"ADULT",TRUE,"SENIOR")</f>
        <v>SENIOR</v>
      </c>
      <c r="H429" s="1" t="s">
        <v>21</v>
      </c>
      <c r="I429" s="1" t="s">
        <v>22</v>
      </c>
      <c r="J429" s="1" t="s">
        <v>23</v>
      </c>
      <c r="K429" s="1" t="s">
        <v>31</v>
      </c>
      <c r="L429" s="1">
        <v>48514</v>
      </c>
      <c r="M429" s="3">
        <f t="shared" si="18"/>
        <v>0.14756565115224471</v>
      </c>
      <c r="N429" s="1">
        <v>7159</v>
      </c>
      <c r="O429" s="4">
        <f t="shared" si="19"/>
        <v>31.399122807017545</v>
      </c>
      <c r="P429" s="1">
        <v>228</v>
      </c>
      <c r="Q429" s="1">
        <v>4585.8328860000001</v>
      </c>
      <c r="R429" s="1">
        <v>8470.2389839306707</v>
      </c>
      <c r="S429" s="5">
        <f t="shared" si="20"/>
        <v>8469.2389839306707</v>
      </c>
      <c r="T429" s="1">
        <v>825</v>
      </c>
      <c r="U429" s="1">
        <v>149</v>
      </c>
      <c r="V429" s="1">
        <v>41</v>
      </c>
      <c r="W429" s="1">
        <v>4136</v>
      </c>
      <c r="X429" s="1">
        <v>0.46844244591851902</v>
      </c>
    </row>
    <row r="430" spans="1:24" x14ac:dyDescent="0.3">
      <c r="A430" s="2">
        <v>45311</v>
      </c>
      <c r="B430" s="1" t="s">
        <v>40</v>
      </c>
      <c r="C430" s="1" t="s">
        <v>41</v>
      </c>
      <c r="D430" s="1" t="s">
        <v>36</v>
      </c>
      <c r="E430" s="1" t="s">
        <v>20</v>
      </c>
      <c r="F430" s="1">
        <v>50</v>
      </c>
      <c r="G430" s="1" t="str" cm="1">
        <f t="array" ref="G430">_xlfn.IFS(F430&lt;=25,"YOUTH",F430&lt;=48,"ADULT",TRUE,"SENIOR")</f>
        <v>SENIOR</v>
      </c>
      <c r="H430" s="1" t="s">
        <v>29</v>
      </c>
      <c r="I430" s="1" t="s">
        <v>37</v>
      </c>
      <c r="J430" s="1" t="s">
        <v>23</v>
      </c>
      <c r="K430" s="1" t="s">
        <v>39</v>
      </c>
      <c r="L430" s="1">
        <v>36771</v>
      </c>
      <c r="M430" s="3">
        <f t="shared" si="18"/>
        <v>6.5867123548448508E-2</v>
      </c>
      <c r="N430" s="1">
        <v>2422</v>
      </c>
      <c r="O430" s="4">
        <f t="shared" si="19"/>
        <v>4.2268760907504364</v>
      </c>
      <c r="P430" s="1">
        <v>573</v>
      </c>
      <c r="Q430" s="1">
        <v>1788.2363900774701</v>
      </c>
      <c r="R430" s="1">
        <v>7780.7067609720998</v>
      </c>
      <c r="S430" s="5">
        <f t="shared" si="20"/>
        <v>7779.7067609720998</v>
      </c>
      <c r="T430" s="1">
        <v>699</v>
      </c>
      <c r="U430" s="1">
        <v>76</v>
      </c>
      <c r="V430" s="1">
        <v>29</v>
      </c>
      <c r="W430" s="1">
        <v>4463</v>
      </c>
      <c r="X430" s="1">
        <v>0.691596123371917</v>
      </c>
    </row>
    <row r="431" spans="1:24" x14ac:dyDescent="0.3">
      <c r="A431" s="2">
        <v>45328</v>
      </c>
      <c r="B431" s="1" t="s">
        <v>17</v>
      </c>
      <c r="C431" s="1" t="s">
        <v>26</v>
      </c>
      <c r="D431" s="1" t="s">
        <v>32</v>
      </c>
      <c r="E431" s="1" t="s">
        <v>28</v>
      </c>
      <c r="F431" s="1">
        <v>47</v>
      </c>
      <c r="G431" s="1" t="str" cm="1">
        <f t="array" ref="G431">_xlfn.IFS(F431&lt;=25,"YOUTH",F431&lt;=48,"ADULT",TRUE,"SENIOR")</f>
        <v>ADULT</v>
      </c>
      <c r="H431" s="1" t="s">
        <v>21</v>
      </c>
      <c r="I431" s="1" t="s">
        <v>33</v>
      </c>
      <c r="J431" s="1" t="s">
        <v>23</v>
      </c>
      <c r="K431" s="1" t="s">
        <v>39</v>
      </c>
      <c r="L431" s="1">
        <v>30256</v>
      </c>
      <c r="M431" s="3">
        <f t="shared" si="18"/>
        <v>6.815177154944474E-2</v>
      </c>
      <c r="N431" s="1">
        <v>2062</v>
      </c>
      <c r="O431" s="4">
        <f t="shared" si="19"/>
        <v>7.0859106529209619</v>
      </c>
      <c r="P431" s="1">
        <v>291</v>
      </c>
      <c r="Q431" s="1">
        <v>3996.431936</v>
      </c>
      <c r="R431" s="1">
        <v>19534.540143453702</v>
      </c>
      <c r="S431" s="5">
        <f t="shared" si="20"/>
        <v>19533.540143453702</v>
      </c>
      <c r="T431" s="1">
        <v>769</v>
      </c>
      <c r="U431" s="1">
        <v>76</v>
      </c>
      <c r="V431" s="1">
        <v>39</v>
      </c>
      <c r="W431" s="1">
        <v>5587</v>
      </c>
      <c r="X431" s="1">
        <v>0.609807985</v>
      </c>
    </row>
    <row r="432" spans="1:24" x14ac:dyDescent="0.3">
      <c r="A432" s="2">
        <v>45345</v>
      </c>
      <c r="B432" s="1" t="s">
        <v>40</v>
      </c>
      <c r="C432" s="1" t="s">
        <v>18</v>
      </c>
      <c r="D432" s="1" t="s">
        <v>19</v>
      </c>
      <c r="E432" s="1" t="s">
        <v>20</v>
      </c>
      <c r="F432" s="1">
        <v>54</v>
      </c>
      <c r="G432" s="1" t="str" cm="1">
        <f t="array" ref="G432">_xlfn.IFS(F432&lt;=25,"YOUTH",F432&lt;=48,"ADULT",TRUE,"SENIOR")</f>
        <v>SENIOR</v>
      </c>
      <c r="H432" s="1" t="s">
        <v>29</v>
      </c>
      <c r="I432" s="1" t="s">
        <v>22</v>
      </c>
      <c r="J432" s="1" t="s">
        <v>23</v>
      </c>
      <c r="K432" s="1" t="s">
        <v>39</v>
      </c>
      <c r="L432" s="1">
        <v>26651</v>
      </c>
      <c r="M432" s="3">
        <f t="shared" si="18"/>
        <v>6.708941503133091E-2</v>
      </c>
      <c r="N432" s="1">
        <v>1788</v>
      </c>
      <c r="O432" s="4">
        <f t="shared" si="19"/>
        <v>10.579881656804734</v>
      </c>
      <c r="P432" s="1">
        <v>169</v>
      </c>
      <c r="Q432" s="1">
        <v>3106.30716718852</v>
      </c>
      <c r="R432" s="1">
        <v>9636.9617799999996</v>
      </c>
      <c r="S432" s="5">
        <f t="shared" si="20"/>
        <v>9635.9617799999996</v>
      </c>
      <c r="T432" s="1">
        <v>594</v>
      </c>
      <c r="U432" s="1">
        <v>59</v>
      </c>
      <c r="V432" s="1">
        <v>19</v>
      </c>
      <c r="W432" s="1">
        <v>2264</v>
      </c>
      <c r="X432" s="1">
        <v>0.47585764437003603</v>
      </c>
    </row>
    <row r="433" spans="1:24" x14ac:dyDescent="0.3">
      <c r="A433" s="2">
        <v>45344</v>
      </c>
      <c r="B433" s="1" t="s">
        <v>40</v>
      </c>
      <c r="C433" s="1" t="s">
        <v>18</v>
      </c>
      <c r="D433" s="1" t="s">
        <v>27</v>
      </c>
      <c r="E433" s="1" t="s">
        <v>28</v>
      </c>
      <c r="F433" s="1">
        <v>40</v>
      </c>
      <c r="G433" s="1" t="str" cm="1">
        <f t="array" ref="G433">_xlfn.IFS(F433&lt;=25,"YOUTH",F433&lt;=48,"ADULT",TRUE,"SENIOR")</f>
        <v>ADULT</v>
      </c>
      <c r="H433" s="1" t="s">
        <v>29</v>
      </c>
      <c r="I433" s="1" t="s">
        <v>33</v>
      </c>
      <c r="J433" s="1" t="s">
        <v>23</v>
      </c>
      <c r="K433" s="1" t="s">
        <v>31</v>
      </c>
      <c r="L433" s="1">
        <v>33383</v>
      </c>
      <c r="M433" s="3">
        <f t="shared" si="18"/>
        <v>5.5417428032231972E-2</v>
      </c>
      <c r="N433" s="1">
        <v>1850</v>
      </c>
      <c r="O433" s="4">
        <f t="shared" si="19"/>
        <v>17.78846153846154</v>
      </c>
      <c r="P433" s="1">
        <v>104</v>
      </c>
      <c r="Q433" s="1">
        <v>2465.6710707847201</v>
      </c>
      <c r="R433" s="1">
        <v>5035.4978911579601</v>
      </c>
      <c r="S433" s="5">
        <f t="shared" si="20"/>
        <v>5034.4978911579601</v>
      </c>
      <c r="T433" s="1">
        <v>720</v>
      </c>
      <c r="U433" s="1">
        <v>57</v>
      </c>
      <c r="V433" s="1">
        <v>20</v>
      </c>
      <c r="W433" s="1">
        <v>772</v>
      </c>
      <c r="X433" s="1">
        <v>0.93999946548066105</v>
      </c>
    </row>
    <row r="434" spans="1:24" x14ac:dyDescent="0.3">
      <c r="A434" s="2">
        <v>45319</v>
      </c>
      <c r="B434" s="1" t="s">
        <v>34</v>
      </c>
      <c r="C434" s="1" t="s">
        <v>35</v>
      </c>
      <c r="D434" s="1" t="s">
        <v>27</v>
      </c>
      <c r="E434" s="1" t="s">
        <v>28</v>
      </c>
      <c r="F434" s="1">
        <v>27</v>
      </c>
      <c r="G434" s="1" t="str" cm="1">
        <f t="array" ref="G434">_xlfn.IFS(F434&lt;=25,"YOUTH",F434&lt;=48,"ADULT",TRUE,"SENIOR")</f>
        <v>ADULT</v>
      </c>
      <c r="H434" s="1" t="s">
        <v>29</v>
      </c>
      <c r="I434" s="1" t="s">
        <v>33</v>
      </c>
      <c r="J434" s="1" t="s">
        <v>23</v>
      </c>
      <c r="K434" s="1" t="s">
        <v>24</v>
      </c>
      <c r="L434" s="1">
        <v>40963</v>
      </c>
      <c r="M434" s="3">
        <f t="shared" si="18"/>
        <v>0.11942484681297756</v>
      </c>
      <c r="N434" s="1">
        <v>4892</v>
      </c>
      <c r="O434" s="4">
        <f t="shared" si="19"/>
        <v>10.234309623430962</v>
      </c>
      <c r="P434" s="1">
        <v>478</v>
      </c>
      <c r="Q434" s="1">
        <v>3341.1075581147202</v>
      </c>
      <c r="R434" s="1">
        <v>19111.699128234399</v>
      </c>
      <c r="S434" s="5">
        <f t="shared" si="20"/>
        <v>19110.699128234399</v>
      </c>
      <c r="T434" s="1">
        <v>744</v>
      </c>
      <c r="U434" s="1">
        <v>133</v>
      </c>
      <c r="V434" s="1">
        <v>45</v>
      </c>
      <c r="W434" s="1">
        <v>3117</v>
      </c>
      <c r="X434" s="1">
        <v>0.603365464104056</v>
      </c>
    </row>
    <row r="435" spans="1:24" x14ac:dyDescent="0.3">
      <c r="A435" s="2">
        <v>45308</v>
      </c>
      <c r="B435" s="1" t="s">
        <v>40</v>
      </c>
      <c r="C435" s="1" t="s">
        <v>26</v>
      </c>
      <c r="D435" s="1" t="s">
        <v>19</v>
      </c>
      <c r="E435" s="1" t="s">
        <v>28</v>
      </c>
      <c r="F435" s="1">
        <v>22</v>
      </c>
      <c r="G435" s="1" t="str" cm="1">
        <f t="array" ref="G435">_xlfn.IFS(F435&lt;=25,"YOUTH",F435&lt;=48,"ADULT",TRUE,"SENIOR")</f>
        <v>YOUTH</v>
      </c>
      <c r="H435" s="1" t="s">
        <v>21</v>
      </c>
      <c r="I435" s="1" t="s">
        <v>37</v>
      </c>
      <c r="J435" s="1" t="s">
        <v>23</v>
      </c>
      <c r="K435" s="1" t="s">
        <v>31</v>
      </c>
      <c r="L435" s="1">
        <v>14662</v>
      </c>
      <c r="M435" s="3">
        <f t="shared" si="18"/>
        <v>0.11621879688991953</v>
      </c>
      <c r="N435" s="1">
        <v>1704</v>
      </c>
      <c r="O435" s="4">
        <f t="shared" si="19"/>
        <v>40.571428571428569</v>
      </c>
      <c r="P435" s="1">
        <v>42</v>
      </c>
      <c r="Q435" s="1">
        <v>1077.1117466446301</v>
      </c>
      <c r="R435" s="1">
        <v>2372.6217419023401</v>
      </c>
      <c r="S435" s="5">
        <f t="shared" si="20"/>
        <v>2371.6217419023401</v>
      </c>
      <c r="T435" s="1">
        <v>108</v>
      </c>
      <c r="U435" s="1">
        <v>7</v>
      </c>
      <c r="V435" s="1">
        <v>8</v>
      </c>
      <c r="W435" s="1">
        <v>676</v>
      </c>
      <c r="X435" s="1">
        <v>0.74418881179167695</v>
      </c>
    </row>
    <row r="436" spans="1:24" x14ac:dyDescent="0.3">
      <c r="A436" s="2">
        <v>45319</v>
      </c>
      <c r="B436" s="1" t="s">
        <v>34</v>
      </c>
      <c r="C436" s="1" t="s">
        <v>35</v>
      </c>
      <c r="D436" s="1" t="s">
        <v>27</v>
      </c>
      <c r="E436" s="1" t="s">
        <v>28</v>
      </c>
      <c r="F436" s="1">
        <v>53</v>
      </c>
      <c r="G436" s="1" t="str" cm="1">
        <f t="array" ref="G436">_xlfn.IFS(F436&lt;=25,"YOUTH",F436&lt;=48,"ADULT",TRUE,"SENIOR")</f>
        <v>SENIOR</v>
      </c>
      <c r="H436" s="1" t="s">
        <v>42</v>
      </c>
      <c r="I436" s="1" t="s">
        <v>37</v>
      </c>
      <c r="J436" s="1" t="s">
        <v>23</v>
      </c>
      <c r="K436" s="1" t="s">
        <v>31</v>
      </c>
      <c r="L436" s="1">
        <v>14739</v>
      </c>
      <c r="M436" s="3">
        <f t="shared" si="18"/>
        <v>7.7006581179184477E-2</v>
      </c>
      <c r="N436" s="1">
        <v>1135</v>
      </c>
      <c r="O436" s="4">
        <f t="shared" si="19"/>
        <v>9.7008547008547001</v>
      </c>
      <c r="P436" s="1">
        <v>117</v>
      </c>
      <c r="Q436" s="1">
        <v>2076.61427494998</v>
      </c>
      <c r="R436" s="1">
        <v>4347.6288070500405</v>
      </c>
      <c r="S436" s="5">
        <f t="shared" si="20"/>
        <v>4346.6288070500405</v>
      </c>
      <c r="T436" s="1">
        <v>221</v>
      </c>
      <c r="U436" s="1">
        <v>41</v>
      </c>
      <c r="V436" s="1">
        <v>16</v>
      </c>
      <c r="W436" s="1">
        <v>1972</v>
      </c>
      <c r="X436" s="1">
        <v>0.66957087373512802</v>
      </c>
    </row>
    <row r="437" spans="1:24" x14ac:dyDescent="0.3">
      <c r="A437" s="2">
        <v>45332</v>
      </c>
      <c r="B437" s="1" t="s">
        <v>17</v>
      </c>
      <c r="C437" s="1" t="s">
        <v>18</v>
      </c>
      <c r="D437" s="1" t="s">
        <v>27</v>
      </c>
      <c r="E437" s="1" t="s">
        <v>28</v>
      </c>
      <c r="F437" s="1">
        <v>51</v>
      </c>
      <c r="G437" s="1" t="str" cm="1">
        <f t="array" ref="G437">_xlfn.IFS(F437&lt;=25,"YOUTH",F437&lt;=48,"ADULT",TRUE,"SENIOR")</f>
        <v>SENIOR</v>
      </c>
      <c r="H437" s="1" t="s">
        <v>29</v>
      </c>
      <c r="I437" s="1" t="s">
        <v>37</v>
      </c>
      <c r="J437" s="1" t="s">
        <v>38</v>
      </c>
      <c r="K437" s="1" t="s">
        <v>39</v>
      </c>
      <c r="L437" s="1">
        <v>49356</v>
      </c>
      <c r="M437" s="3">
        <f t="shared" si="18"/>
        <v>1.62492908663587E-2</v>
      </c>
      <c r="N437" s="1">
        <v>802</v>
      </c>
      <c r="O437" s="4">
        <f t="shared" si="19"/>
        <v>7.0350877192982457</v>
      </c>
      <c r="P437" s="1">
        <v>114</v>
      </c>
      <c r="Q437" s="1">
        <v>3191.3150082242701</v>
      </c>
      <c r="R437" s="1">
        <v>2792.8066594250799</v>
      </c>
      <c r="S437" s="5">
        <f t="shared" si="20"/>
        <v>2791.8066594250799</v>
      </c>
      <c r="T437" s="1">
        <v>1428</v>
      </c>
      <c r="U437" s="1">
        <v>132</v>
      </c>
      <c r="V437" s="1">
        <v>80</v>
      </c>
      <c r="W437" s="1">
        <v>767</v>
      </c>
      <c r="X437" s="1">
        <v>0.47855555356922103</v>
      </c>
    </row>
    <row r="438" spans="1:24" x14ac:dyDescent="0.3">
      <c r="A438" s="2">
        <v>45293</v>
      </c>
      <c r="B438" s="1" t="s">
        <v>40</v>
      </c>
      <c r="C438" s="1" t="s">
        <v>18</v>
      </c>
      <c r="D438" s="1" t="s">
        <v>36</v>
      </c>
      <c r="E438" s="1" t="s">
        <v>20</v>
      </c>
      <c r="F438" s="1">
        <v>48</v>
      </c>
      <c r="G438" s="1" t="str" cm="1">
        <f t="array" ref="G438">_xlfn.IFS(F438&lt;=25,"YOUTH",F438&lt;=48,"ADULT",TRUE,"SENIOR")</f>
        <v>ADULT</v>
      </c>
      <c r="H438" s="1" t="s">
        <v>21</v>
      </c>
      <c r="I438" s="1" t="s">
        <v>22</v>
      </c>
      <c r="J438" s="1" t="s">
        <v>23</v>
      </c>
      <c r="K438" s="1" t="s">
        <v>39</v>
      </c>
      <c r="L438" s="1">
        <v>2789</v>
      </c>
      <c r="M438" s="3">
        <f t="shared" si="18"/>
        <v>5.3065614915740411E-2</v>
      </c>
      <c r="N438" s="1">
        <v>148</v>
      </c>
      <c r="O438" s="4">
        <f t="shared" si="19"/>
        <v>4.625</v>
      </c>
      <c r="P438" s="1">
        <v>32</v>
      </c>
      <c r="Q438" s="1">
        <v>405.11049491236798</v>
      </c>
      <c r="R438" s="1">
        <v>493.57840914667702</v>
      </c>
      <c r="S438" s="5">
        <f t="shared" si="20"/>
        <v>492.57840914667702</v>
      </c>
      <c r="T438" s="1">
        <v>83</v>
      </c>
      <c r="U438" s="1">
        <v>15</v>
      </c>
      <c r="V438" s="1">
        <v>5</v>
      </c>
      <c r="W438" s="1">
        <v>182</v>
      </c>
      <c r="X438" s="1">
        <v>0.43054899285491299</v>
      </c>
    </row>
    <row r="439" spans="1:24" x14ac:dyDescent="0.3">
      <c r="A439" s="2">
        <v>45316</v>
      </c>
      <c r="B439" s="1" t="s">
        <v>40</v>
      </c>
      <c r="C439" s="1" t="s">
        <v>18</v>
      </c>
      <c r="D439" s="1" t="s">
        <v>27</v>
      </c>
      <c r="E439" s="1" t="s">
        <v>20</v>
      </c>
      <c r="F439" s="1">
        <v>27</v>
      </c>
      <c r="G439" s="1" t="str" cm="1">
        <f t="array" ref="G439">_xlfn.IFS(F439&lt;=25,"YOUTH",F439&lt;=48,"ADULT",TRUE,"SENIOR")</f>
        <v>ADULT</v>
      </c>
      <c r="H439" s="1" t="s">
        <v>21</v>
      </c>
      <c r="I439" s="1" t="s">
        <v>43</v>
      </c>
      <c r="J439" s="1" t="s">
        <v>23</v>
      </c>
      <c r="K439" s="1" t="s">
        <v>31</v>
      </c>
      <c r="L439" s="1">
        <v>20420</v>
      </c>
      <c r="M439" s="3">
        <f t="shared" si="18"/>
        <v>5.0881488736532809E-2</v>
      </c>
      <c r="N439" s="1">
        <v>1039</v>
      </c>
      <c r="O439" s="4">
        <f t="shared" si="19"/>
        <v>5.6162162162162161</v>
      </c>
      <c r="P439" s="1">
        <v>185</v>
      </c>
      <c r="Q439" s="1">
        <v>2824.8074439707302</v>
      </c>
      <c r="R439" s="1">
        <v>8712.2167053417306</v>
      </c>
      <c r="S439" s="5">
        <f t="shared" si="20"/>
        <v>8711.2167053417306</v>
      </c>
      <c r="T439" s="1">
        <v>475</v>
      </c>
      <c r="U439" s="1">
        <v>80</v>
      </c>
      <c r="V439" s="1">
        <v>29</v>
      </c>
      <c r="W439" s="1">
        <v>2319</v>
      </c>
      <c r="X439" s="1">
        <v>0.74417317829507701</v>
      </c>
    </row>
    <row r="440" spans="1:24" x14ac:dyDescent="0.3">
      <c r="A440" s="2">
        <v>45349</v>
      </c>
      <c r="B440" s="1" t="s">
        <v>25</v>
      </c>
      <c r="C440" s="1" t="s">
        <v>26</v>
      </c>
      <c r="D440" s="1" t="s">
        <v>32</v>
      </c>
      <c r="E440" s="1" t="s">
        <v>28</v>
      </c>
      <c r="F440" s="1">
        <v>36</v>
      </c>
      <c r="G440" s="1" t="str" cm="1">
        <f t="array" ref="G440">_xlfn.IFS(F440&lt;=25,"YOUTH",F440&lt;=48,"ADULT",TRUE,"SENIOR")</f>
        <v>ADULT</v>
      </c>
      <c r="H440" s="1" t="s">
        <v>21</v>
      </c>
      <c r="I440" s="1" t="s">
        <v>37</v>
      </c>
      <c r="J440" s="1" t="s">
        <v>23</v>
      </c>
      <c r="K440" s="1" t="s">
        <v>31</v>
      </c>
      <c r="L440" s="1">
        <v>24761</v>
      </c>
      <c r="M440" s="3">
        <f t="shared" si="18"/>
        <v>0.12354105246153224</v>
      </c>
      <c r="N440" s="1">
        <v>3059</v>
      </c>
      <c r="O440" s="4">
        <f t="shared" si="19"/>
        <v>22.007194244604317</v>
      </c>
      <c r="P440" s="1">
        <v>139</v>
      </c>
      <c r="Q440" s="1">
        <v>2524.8234204169098</v>
      </c>
      <c r="R440" s="1">
        <v>9092.3616063145491</v>
      </c>
      <c r="S440" s="5">
        <f t="shared" si="20"/>
        <v>9091.3616063145491</v>
      </c>
      <c r="T440" s="1">
        <v>264</v>
      </c>
      <c r="U440" s="1">
        <v>36</v>
      </c>
      <c r="V440" s="1">
        <v>19</v>
      </c>
      <c r="W440" s="1">
        <v>1552</v>
      </c>
      <c r="X440" s="1">
        <v>0.53586202869133703</v>
      </c>
    </row>
    <row r="441" spans="1:24" x14ac:dyDescent="0.3">
      <c r="A441" s="2">
        <v>45341</v>
      </c>
      <c r="B441" s="1" t="s">
        <v>40</v>
      </c>
      <c r="C441" s="1" t="s">
        <v>26</v>
      </c>
      <c r="D441" s="1" t="s">
        <v>27</v>
      </c>
      <c r="E441" s="1" t="s">
        <v>28</v>
      </c>
      <c r="F441" s="1">
        <v>49</v>
      </c>
      <c r="G441" s="1" t="str" cm="1">
        <f t="array" ref="G441">_xlfn.IFS(F441&lt;=25,"YOUTH",F441&lt;=48,"ADULT",TRUE,"SENIOR")</f>
        <v>SENIOR</v>
      </c>
      <c r="H441" s="1" t="s">
        <v>29</v>
      </c>
      <c r="I441" s="1" t="s">
        <v>37</v>
      </c>
      <c r="J441" s="1" t="s">
        <v>23</v>
      </c>
      <c r="K441" s="1" t="s">
        <v>39</v>
      </c>
      <c r="L441" s="1">
        <v>41366</v>
      </c>
      <c r="M441" s="3">
        <f t="shared" si="18"/>
        <v>2.2240487356766425E-2</v>
      </c>
      <c r="N441" s="1">
        <v>920</v>
      </c>
      <c r="O441" s="4">
        <f t="shared" si="19"/>
        <v>18.775510204081634</v>
      </c>
      <c r="P441" s="1">
        <v>49</v>
      </c>
      <c r="Q441" s="1">
        <v>3945.3579709999999</v>
      </c>
      <c r="R441" s="1">
        <v>734.275092911358</v>
      </c>
      <c r="S441" s="5">
        <f t="shared" si="20"/>
        <v>733.275092911358</v>
      </c>
      <c r="T441" s="1">
        <v>312</v>
      </c>
      <c r="U441" s="1">
        <v>46</v>
      </c>
      <c r="V441" s="1">
        <v>7</v>
      </c>
      <c r="W441" s="1">
        <v>4744</v>
      </c>
      <c r="X441" s="1">
        <v>0.53400969978754298</v>
      </c>
    </row>
    <row r="442" spans="1:24" x14ac:dyDescent="0.3">
      <c r="A442" s="2">
        <v>45332</v>
      </c>
      <c r="B442" s="1" t="s">
        <v>40</v>
      </c>
      <c r="C442" s="1" t="s">
        <v>18</v>
      </c>
      <c r="D442" s="1" t="s">
        <v>19</v>
      </c>
      <c r="E442" s="1" t="s">
        <v>20</v>
      </c>
      <c r="F442" s="1">
        <v>18</v>
      </c>
      <c r="G442" s="1" t="str" cm="1">
        <f t="array" ref="G442">_xlfn.IFS(F442&lt;=25,"YOUTH",F442&lt;=48,"ADULT",TRUE,"SENIOR")</f>
        <v>YOUTH</v>
      </c>
      <c r="H442" s="1" t="s">
        <v>21</v>
      </c>
      <c r="I442" s="1" t="s">
        <v>22</v>
      </c>
      <c r="J442" s="1" t="s">
        <v>23</v>
      </c>
      <c r="K442" s="1" t="s">
        <v>31</v>
      </c>
      <c r="L442" s="1">
        <v>38606</v>
      </c>
      <c r="M442" s="3">
        <f t="shared" si="18"/>
        <v>0.12277884266694296</v>
      </c>
      <c r="N442" s="1">
        <v>4740</v>
      </c>
      <c r="O442" s="4">
        <f t="shared" si="19"/>
        <v>8.4491978609625669</v>
      </c>
      <c r="P442" s="1">
        <v>561</v>
      </c>
      <c r="Q442" s="1">
        <v>2629.51667702956</v>
      </c>
      <c r="R442" s="1">
        <v>9369.3580129999991</v>
      </c>
      <c r="S442" s="5">
        <f t="shared" si="20"/>
        <v>9368.3580129999991</v>
      </c>
      <c r="T442" s="1">
        <v>593</v>
      </c>
      <c r="U442" s="1">
        <v>58</v>
      </c>
      <c r="V442" s="1">
        <v>45</v>
      </c>
      <c r="W442" s="1">
        <v>1227</v>
      </c>
      <c r="X442" s="1">
        <v>0.92633690434066995</v>
      </c>
    </row>
    <row r="443" spans="1:24" x14ac:dyDescent="0.3">
      <c r="A443" s="2">
        <v>45297</v>
      </c>
      <c r="B443" s="1" t="s">
        <v>25</v>
      </c>
      <c r="C443" s="1" t="s">
        <v>35</v>
      </c>
      <c r="D443" s="1" t="s">
        <v>36</v>
      </c>
      <c r="E443" s="1" t="s">
        <v>20</v>
      </c>
      <c r="F443" s="1">
        <v>22</v>
      </c>
      <c r="G443" s="1" t="str" cm="1">
        <f t="array" ref="G443">_xlfn.IFS(F443&lt;=25,"YOUTH",F443&lt;=48,"ADULT",TRUE,"SENIOR")</f>
        <v>YOUTH</v>
      </c>
      <c r="H443" s="1" t="s">
        <v>21</v>
      </c>
      <c r="I443" s="1" t="s">
        <v>37</v>
      </c>
      <c r="J443" s="1" t="s">
        <v>23</v>
      </c>
      <c r="K443" s="1" t="s">
        <v>31</v>
      </c>
      <c r="L443" s="1">
        <v>39640</v>
      </c>
      <c r="M443" s="3">
        <f t="shared" si="18"/>
        <v>0.10368314833501513</v>
      </c>
      <c r="N443" s="1">
        <v>4110</v>
      </c>
      <c r="O443" s="4">
        <f t="shared" si="19"/>
        <v>15.393258426966293</v>
      </c>
      <c r="P443" s="1">
        <v>267</v>
      </c>
      <c r="Q443" s="1">
        <v>887.30138620000002</v>
      </c>
      <c r="R443" s="1">
        <v>8860.2327100000002</v>
      </c>
      <c r="S443" s="5">
        <f t="shared" si="20"/>
        <v>8859.2327100000002</v>
      </c>
      <c r="T443" s="1">
        <v>1047</v>
      </c>
      <c r="U443" s="1">
        <v>142</v>
      </c>
      <c r="V443" s="1">
        <v>69</v>
      </c>
      <c r="W443" s="1">
        <v>7497</v>
      </c>
      <c r="X443" s="1">
        <v>0.65397531737120995</v>
      </c>
    </row>
    <row r="444" spans="1:24" x14ac:dyDescent="0.3">
      <c r="A444" s="2">
        <v>45302</v>
      </c>
      <c r="B444" s="1" t="s">
        <v>25</v>
      </c>
      <c r="C444" s="1" t="s">
        <v>35</v>
      </c>
      <c r="D444" s="1" t="s">
        <v>27</v>
      </c>
      <c r="E444" s="1" t="s">
        <v>28</v>
      </c>
      <c r="F444" s="1">
        <v>21</v>
      </c>
      <c r="G444" s="1" t="str" cm="1">
        <f t="array" ref="G444">_xlfn.IFS(F444&lt;=25,"YOUTH",F444&lt;=48,"ADULT",TRUE,"SENIOR")</f>
        <v>YOUTH</v>
      </c>
      <c r="H444" s="1" t="s">
        <v>29</v>
      </c>
      <c r="I444" s="1" t="s">
        <v>22</v>
      </c>
      <c r="J444" s="1" t="s">
        <v>38</v>
      </c>
      <c r="K444" s="1" t="s">
        <v>31</v>
      </c>
      <c r="L444" s="1">
        <v>45135</v>
      </c>
      <c r="M444" s="3">
        <f t="shared" si="18"/>
        <v>0.11252907942838153</v>
      </c>
      <c r="N444" s="1">
        <v>5079</v>
      </c>
      <c r="O444" s="4">
        <f t="shared" si="19"/>
        <v>37.902985074626862</v>
      </c>
      <c r="P444" s="1">
        <v>134</v>
      </c>
      <c r="Q444" s="1">
        <v>1651.5354264093201</v>
      </c>
      <c r="R444" s="1">
        <v>7698.0933203804898</v>
      </c>
      <c r="S444" s="5">
        <f t="shared" si="20"/>
        <v>7697.0933203804898</v>
      </c>
      <c r="T444" s="1">
        <v>1040</v>
      </c>
      <c r="U444" s="1">
        <v>97</v>
      </c>
      <c r="V444" s="1">
        <v>37</v>
      </c>
      <c r="W444" s="1">
        <v>2946</v>
      </c>
      <c r="X444" s="1">
        <v>0.41618433657537901</v>
      </c>
    </row>
    <row r="445" spans="1:24" x14ac:dyDescent="0.3">
      <c r="A445" s="2">
        <v>45348</v>
      </c>
      <c r="B445" s="1" t="s">
        <v>17</v>
      </c>
      <c r="C445" s="1" t="s">
        <v>41</v>
      </c>
      <c r="D445" s="1" t="s">
        <v>19</v>
      </c>
      <c r="E445" s="1" t="s">
        <v>28</v>
      </c>
      <c r="F445" s="1">
        <v>33</v>
      </c>
      <c r="G445" s="1" t="str" cm="1">
        <f t="array" ref="G445">_xlfn.IFS(F445&lt;=25,"YOUTH",F445&lt;=48,"ADULT",TRUE,"SENIOR")</f>
        <v>ADULT</v>
      </c>
      <c r="H445" s="1" t="s">
        <v>29</v>
      </c>
      <c r="I445" s="1" t="s">
        <v>33</v>
      </c>
      <c r="J445" s="1" t="s">
        <v>23</v>
      </c>
      <c r="K445" s="1" t="s">
        <v>24</v>
      </c>
      <c r="L445" s="1">
        <v>38067</v>
      </c>
      <c r="M445" s="3">
        <f t="shared" si="18"/>
        <v>7.0507263509076101E-2</v>
      </c>
      <c r="N445" s="1">
        <v>2684</v>
      </c>
      <c r="O445" s="4">
        <f t="shared" si="19"/>
        <v>4.88</v>
      </c>
      <c r="P445" s="1">
        <v>550</v>
      </c>
      <c r="Q445" s="1">
        <v>4493.8120921731397</v>
      </c>
      <c r="R445" s="1">
        <v>13257.737560731201</v>
      </c>
      <c r="S445" s="5">
        <f t="shared" si="20"/>
        <v>13256.737560731201</v>
      </c>
      <c r="T445" s="1">
        <v>1031</v>
      </c>
      <c r="U445" s="1">
        <v>113</v>
      </c>
      <c r="V445" s="1">
        <v>24</v>
      </c>
      <c r="W445" s="1">
        <v>7056</v>
      </c>
      <c r="X445" s="1">
        <v>0.58691349333239295</v>
      </c>
    </row>
    <row r="446" spans="1:24" x14ac:dyDescent="0.3">
      <c r="A446" s="2">
        <v>45329</v>
      </c>
      <c r="B446" s="1" t="s">
        <v>40</v>
      </c>
      <c r="C446" s="1" t="s">
        <v>18</v>
      </c>
      <c r="D446" s="1" t="s">
        <v>32</v>
      </c>
      <c r="E446" s="1" t="s">
        <v>20</v>
      </c>
      <c r="F446" s="1">
        <v>41</v>
      </c>
      <c r="G446" s="1" t="str" cm="1">
        <f t="array" ref="G446">_xlfn.IFS(F446&lt;=25,"YOUTH",F446&lt;=48,"ADULT",TRUE,"SENIOR")</f>
        <v>ADULT</v>
      </c>
      <c r="H446" s="1" t="s">
        <v>21</v>
      </c>
      <c r="I446" s="1" t="s">
        <v>37</v>
      </c>
      <c r="J446" s="1" t="s">
        <v>23</v>
      </c>
      <c r="K446" s="1" t="s">
        <v>31</v>
      </c>
      <c r="L446" s="1">
        <v>18357</v>
      </c>
      <c r="M446" s="3">
        <f t="shared" si="18"/>
        <v>0.10513700495723702</v>
      </c>
      <c r="N446" s="1">
        <v>1930</v>
      </c>
      <c r="O446" s="4">
        <f t="shared" si="19"/>
        <v>41.063829787234042</v>
      </c>
      <c r="P446" s="1">
        <v>47</v>
      </c>
      <c r="Q446" s="1">
        <v>1492.42807349126</v>
      </c>
      <c r="R446" s="1">
        <v>1010.70398486693</v>
      </c>
      <c r="S446" s="5">
        <f t="shared" si="20"/>
        <v>1009.70398486693</v>
      </c>
      <c r="T446" s="1">
        <v>374</v>
      </c>
      <c r="U446" s="1">
        <v>61</v>
      </c>
      <c r="V446" s="1">
        <v>10</v>
      </c>
      <c r="W446" s="1">
        <v>1320</v>
      </c>
      <c r="X446" s="1">
        <v>0.72147034823872402</v>
      </c>
    </row>
    <row r="447" spans="1:24" x14ac:dyDescent="0.3">
      <c r="A447" s="2">
        <v>45297</v>
      </c>
      <c r="B447" s="1" t="s">
        <v>17</v>
      </c>
      <c r="C447" s="1" t="s">
        <v>35</v>
      </c>
      <c r="D447" s="1" t="s">
        <v>27</v>
      </c>
      <c r="E447" s="1" t="s">
        <v>28</v>
      </c>
      <c r="F447" s="1">
        <v>33</v>
      </c>
      <c r="G447" s="1" t="str" cm="1">
        <f t="array" ref="G447">_xlfn.IFS(F447&lt;=25,"YOUTH",F447&lt;=48,"ADULT",TRUE,"SENIOR")</f>
        <v>ADULT</v>
      </c>
      <c r="H447" s="1" t="s">
        <v>42</v>
      </c>
      <c r="I447" s="1" t="s">
        <v>37</v>
      </c>
      <c r="J447" s="1" t="s">
        <v>38</v>
      </c>
      <c r="K447" s="1" t="s">
        <v>24</v>
      </c>
      <c r="L447" s="1">
        <v>40851</v>
      </c>
      <c r="M447" s="3">
        <f t="shared" si="18"/>
        <v>9.5248586325916137E-2</v>
      </c>
      <c r="N447" s="1">
        <v>3891</v>
      </c>
      <c r="O447" s="4">
        <f t="shared" si="19"/>
        <v>4.7393422655298414</v>
      </c>
      <c r="P447" s="1">
        <v>821</v>
      </c>
      <c r="Q447" s="1">
        <v>1612.75489056264</v>
      </c>
      <c r="R447" s="1">
        <v>37189.501143914102</v>
      </c>
      <c r="S447" s="5">
        <f t="shared" si="20"/>
        <v>37188.501143914102</v>
      </c>
      <c r="T447" s="1">
        <v>337</v>
      </c>
      <c r="U447" s="1">
        <v>29</v>
      </c>
      <c r="V447" s="1">
        <v>20</v>
      </c>
      <c r="W447" s="1">
        <v>6476</v>
      </c>
      <c r="X447" s="1">
        <v>0.580712080184416</v>
      </c>
    </row>
    <row r="448" spans="1:24" x14ac:dyDescent="0.3">
      <c r="A448" s="2">
        <v>45336</v>
      </c>
      <c r="B448" s="1" t="s">
        <v>17</v>
      </c>
      <c r="C448" s="1" t="s">
        <v>18</v>
      </c>
      <c r="D448" s="1" t="s">
        <v>36</v>
      </c>
      <c r="E448" s="1" t="s">
        <v>20</v>
      </c>
      <c r="F448" s="1">
        <v>19</v>
      </c>
      <c r="G448" s="1" t="str" cm="1">
        <f t="array" ref="G448">_xlfn.IFS(F448&lt;=25,"YOUTH",F448&lt;=48,"ADULT",TRUE,"SENIOR")</f>
        <v>YOUTH</v>
      </c>
      <c r="H448" s="1" t="s">
        <v>29</v>
      </c>
      <c r="I448" s="1" t="s">
        <v>33</v>
      </c>
      <c r="J448" s="1" t="s">
        <v>23</v>
      </c>
      <c r="K448" s="1" t="s">
        <v>39</v>
      </c>
      <c r="L448" s="1">
        <v>39262</v>
      </c>
      <c r="M448" s="3">
        <f t="shared" si="18"/>
        <v>0.11764556059293974</v>
      </c>
      <c r="N448" s="1">
        <v>4619</v>
      </c>
      <c r="O448" s="4">
        <f t="shared" si="19"/>
        <v>18.853061224489796</v>
      </c>
      <c r="P448" s="1">
        <v>245</v>
      </c>
      <c r="Q448" s="1">
        <v>2132.51203714031</v>
      </c>
      <c r="R448" s="1">
        <v>9754.6654013487296</v>
      </c>
      <c r="S448" s="5">
        <f t="shared" si="20"/>
        <v>9753.6654013487296</v>
      </c>
      <c r="T448" s="1">
        <v>308</v>
      </c>
      <c r="U448" s="1">
        <v>54</v>
      </c>
      <c r="V448" s="1">
        <v>24</v>
      </c>
      <c r="W448" s="1">
        <v>2229</v>
      </c>
      <c r="X448" s="1">
        <v>0.41476857471877798</v>
      </c>
    </row>
    <row r="449" spans="1:24" x14ac:dyDescent="0.3">
      <c r="A449" s="2">
        <v>45302</v>
      </c>
      <c r="B449" s="1" t="s">
        <v>25</v>
      </c>
      <c r="C449" s="1" t="s">
        <v>35</v>
      </c>
      <c r="D449" s="1" t="s">
        <v>27</v>
      </c>
      <c r="E449" s="1" t="s">
        <v>28</v>
      </c>
      <c r="F449" s="1">
        <v>45</v>
      </c>
      <c r="G449" s="1" t="str" cm="1">
        <f t="array" ref="G449">_xlfn.IFS(F449&lt;=25,"YOUTH",F449&lt;=48,"ADULT",TRUE,"SENIOR")</f>
        <v>ADULT</v>
      </c>
      <c r="H449" s="1" t="s">
        <v>21</v>
      </c>
      <c r="I449" s="1" t="s">
        <v>33</v>
      </c>
      <c r="J449" s="1" t="s">
        <v>23</v>
      </c>
      <c r="K449" s="1" t="s">
        <v>24</v>
      </c>
      <c r="L449" s="1">
        <v>12317</v>
      </c>
      <c r="M449" s="3">
        <f t="shared" si="18"/>
        <v>7.2501420800519606E-2</v>
      </c>
      <c r="N449" s="1">
        <v>893</v>
      </c>
      <c r="O449" s="4">
        <f t="shared" si="19"/>
        <v>4.0963302752293576</v>
      </c>
      <c r="P449" s="1">
        <v>218</v>
      </c>
      <c r="Q449" s="1">
        <v>1764.0259224040101</v>
      </c>
      <c r="R449" s="1">
        <v>1943.3225641889901</v>
      </c>
      <c r="S449" s="5">
        <f t="shared" si="20"/>
        <v>1942.3225641889901</v>
      </c>
      <c r="T449" s="1">
        <v>76</v>
      </c>
      <c r="U449" s="1">
        <v>8</v>
      </c>
      <c r="V449" s="1">
        <v>3</v>
      </c>
      <c r="W449" s="1">
        <v>1690</v>
      </c>
      <c r="X449" s="1">
        <v>0.64437119600670401</v>
      </c>
    </row>
    <row r="450" spans="1:24" x14ac:dyDescent="0.3">
      <c r="A450" s="2">
        <v>45305</v>
      </c>
      <c r="B450" s="1" t="s">
        <v>34</v>
      </c>
      <c r="C450" s="1" t="s">
        <v>41</v>
      </c>
      <c r="D450" s="1" t="s">
        <v>19</v>
      </c>
      <c r="E450" s="1" t="s">
        <v>20</v>
      </c>
      <c r="F450" s="1">
        <v>49</v>
      </c>
      <c r="G450" s="1" t="str" cm="1">
        <f t="array" ref="G450">_xlfn.IFS(F450&lt;=25,"YOUTH",F450&lt;=48,"ADULT",TRUE,"SENIOR")</f>
        <v>SENIOR</v>
      </c>
      <c r="H450" s="1" t="s">
        <v>42</v>
      </c>
      <c r="I450" s="1" t="s">
        <v>33</v>
      </c>
      <c r="J450" s="1" t="s">
        <v>23</v>
      </c>
      <c r="K450" s="1" t="s">
        <v>24</v>
      </c>
      <c r="L450" s="1">
        <v>22534</v>
      </c>
      <c r="M450" s="3">
        <f t="shared" si="18"/>
        <v>7.6151593148131719E-2</v>
      </c>
      <c r="N450" s="1">
        <v>1716</v>
      </c>
      <c r="O450" s="4">
        <f t="shared" si="19"/>
        <v>6.3088235294117645</v>
      </c>
      <c r="P450" s="1">
        <v>272</v>
      </c>
      <c r="Q450" s="1">
        <v>1526.1662704145899</v>
      </c>
      <c r="R450" s="1">
        <v>2800.7427988280001</v>
      </c>
      <c r="S450" s="5">
        <f t="shared" si="20"/>
        <v>2799.7427988280001</v>
      </c>
      <c r="T450" s="1">
        <v>432</v>
      </c>
      <c r="U450" s="1">
        <v>56</v>
      </c>
      <c r="V450" s="1">
        <v>21</v>
      </c>
      <c r="W450" s="1">
        <v>1611</v>
      </c>
      <c r="X450" s="1">
        <v>0.45824848489612702</v>
      </c>
    </row>
    <row r="451" spans="1:24" x14ac:dyDescent="0.3">
      <c r="A451" s="2">
        <v>45293</v>
      </c>
      <c r="B451" s="1" t="s">
        <v>17</v>
      </c>
      <c r="C451" s="1" t="s">
        <v>41</v>
      </c>
      <c r="D451" s="1" t="s">
        <v>36</v>
      </c>
      <c r="E451" s="1" t="s">
        <v>20</v>
      </c>
      <c r="F451" s="1">
        <v>44</v>
      </c>
      <c r="G451" s="1" t="str" cm="1">
        <f t="array" ref="G451">_xlfn.IFS(F451&lt;=25,"YOUTH",F451&lt;=48,"ADULT",TRUE,"SENIOR")</f>
        <v>ADULT</v>
      </c>
      <c r="H451" s="1" t="s">
        <v>21</v>
      </c>
      <c r="I451" s="1" t="s">
        <v>37</v>
      </c>
      <c r="J451" s="1" t="s">
        <v>23</v>
      </c>
      <c r="K451" s="1" t="s">
        <v>31</v>
      </c>
      <c r="L451" s="1">
        <v>26734</v>
      </c>
      <c r="M451" s="3">
        <f t="shared" ref="M451:M514" si="21">(N451/L451)</f>
        <v>0.10009725443255779</v>
      </c>
      <c r="N451" s="1">
        <v>2676</v>
      </c>
      <c r="O451" s="4">
        <f t="shared" ref="O451:O514" si="22">(N451/P451)</f>
        <v>5.2990099009900993</v>
      </c>
      <c r="P451" s="1">
        <v>505</v>
      </c>
      <c r="Q451" s="1">
        <v>3689.2559860535498</v>
      </c>
      <c r="R451" s="1">
        <v>23631.901074564899</v>
      </c>
      <c r="S451" s="5">
        <f t="shared" ref="S451:S514" si="23">(R451-Q451/Q451)</f>
        <v>23630.901074564899</v>
      </c>
      <c r="T451" s="1">
        <v>296</v>
      </c>
      <c r="U451" s="1">
        <v>56</v>
      </c>
      <c r="V451" s="1">
        <v>28</v>
      </c>
      <c r="W451" s="1">
        <v>2853</v>
      </c>
      <c r="X451" s="1">
        <v>0.74053801356448701</v>
      </c>
    </row>
    <row r="452" spans="1:24" x14ac:dyDescent="0.3">
      <c r="A452" s="2">
        <v>45331</v>
      </c>
      <c r="B452" s="1" t="s">
        <v>34</v>
      </c>
      <c r="C452" s="1" t="s">
        <v>18</v>
      </c>
      <c r="D452" s="1" t="s">
        <v>27</v>
      </c>
      <c r="E452" s="1" t="s">
        <v>28</v>
      </c>
      <c r="F452" s="1">
        <v>37</v>
      </c>
      <c r="G452" s="1" t="str" cm="1">
        <f t="array" ref="G452">_xlfn.IFS(F452&lt;=25,"YOUTH",F452&lt;=48,"ADULT",TRUE,"SENIOR")</f>
        <v>ADULT</v>
      </c>
      <c r="H452" s="1" t="s">
        <v>42</v>
      </c>
      <c r="I452" s="1" t="s">
        <v>43</v>
      </c>
      <c r="J452" s="1" t="s">
        <v>38</v>
      </c>
      <c r="K452" s="1" t="s">
        <v>31</v>
      </c>
      <c r="L452" s="1">
        <v>36897</v>
      </c>
      <c r="M452" s="3">
        <f t="shared" si="21"/>
        <v>2.5123993820635824E-2</v>
      </c>
      <c r="N452" s="1">
        <v>927</v>
      </c>
      <c r="O452" s="4">
        <f t="shared" si="22"/>
        <v>22.071428571428573</v>
      </c>
      <c r="P452" s="1">
        <v>42</v>
      </c>
      <c r="Q452" s="1">
        <v>2199.1592795376901</v>
      </c>
      <c r="R452" s="1">
        <v>1479.7874256734301</v>
      </c>
      <c r="S452" s="5">
        <f t="shared" si="23"/>
        <v>1478.7874256734301</v>
      </c>
      <c r="T452" s="1">
        <v>861</v>
      </c>
      <c r="U452" s="1">
        <v>131</v>
      </c>
      <c r="V452" s="1">
        <v>31</v>
      </c>
      <c r="W452" s="1">
        <v>5092</v>
      </c>
      <c r="X452" s="1">
        <v>0.74077290512247795</v>
      </c>
    </row>
    <row r="453" spans="1:24" x14ac:dyDescent="0.3">
      <c r="A453" s="2">
        <v>45294</v>
      </c>
      <c r="B453" s="1" t="s">
        <v>40</v>
      </c>
      <c r="C453" s="1" t="s">
        <v>35</v>
      </c>
      <c r="D453" s="1" t="s">
        <v>32</v>
      </c>
      <c r="E453" s="1" t="s">
        <v>20</v>
      </c>
      <c r="F453" s="1">
        <v>41</v>
      </c>
      <c r="G453" s="1" t="str" cm="1">
        <f t="array" ref="G453">_xlfn.IFS(F453&lt;=25,"YOUTH",F453&lt;=48,"ADULT",TRUE,"SENIOR")</f>
        <v>ADULT</v>
      </c>
      <c r="H453" s="1" t="s">
        <v>21</v>
      </c>
      <c r="I453" s="1" t="s">
        <v>43</v>
      </c>
      <c r="J453" s="1" t="s">
        <v>38</v>
      </c>
      <c r="K453" s="1" t="s">
        <v>31</v>
      </c>
      <c r="L453" s="1">
        <v>33872</v>
      </c>
      <c r="M453" s="3">
        <f t="shared" si="21"/>
        <v>7.1061643835616445E-2</v>
      </c>
      <c r="N453" s="1">
        <v>2407</v>
      </c>
      <c r="O453" s="4">
        <f t="shared" si="22"/>
        <v>4.5847619047619048</v>
      </c>
      <c r="P453" s="1">
        <v>525</v>
      </c>
      <c r="Q453" s="1">
        <v>3069.4336347325798</v>
      </c>
      <c r="R453" s="1">
        <v>35759.596662979602</v>
      </c>
      <c r="S453" s="5">
        <f t="shared" si="23"/>
        <v>35758.596662979602</v>
      </c>
      <c r="T453" s="1">
        <v>750</v>
      </c>
      <c r="U453" s="1">
        <v>110</v>
      </c>
      <c r="V453" s="1">
        <v>21</v>
      </c>
      <c r="W453" s="1">
        <v>4128</v>
      </c>
      <c r="X453" s="1">
        <v>0.42076752677911999</v>
      </c>
    </row>
    <row r="454" spans="1:24" x14ac:dyDescent="0.3">
      <c r="A454" s="2">
        <v>45346</v>
      </c>
      <c r="B454" s="1" t="s">
        <v>25</v>
      </c>
      <c r="C454" s="1" t="s">
        <v>26</v>
      </c>
      <c r="D454" s="1" t="s">
        <v>36</v>
      </c>
      <c r="E454" s="1" t="s">
        <v>28</v>
      </c>
      <c r="F454" s="1">
        <v>29</v>
      </c>
      <c r="G454" s="1" t="str" cm="1">
        <f t="array" ref="G454">_xlfn.IFS(F454&lt;=25,"YOUTH",F454&lt;=48,"ADULT",TRUE,"SENIOR")</f>
        <v>ADULT</v>
      </c>
      <c r="H454" s="1" t="s">
        <v>29</v>
      </c>
      <c r="I454" s="1" t="s">
        <v>43</v>
      </c>
      <c r="J454" s="1" t="s">
        <v>38</v>
      </c>
      <c r="K454" s="1" t="s">
        <v>31</v>
      </c>
      <c r="L454" s="1">
        <v>41201</v>
      </c>
      <c r="M454" s="3">
        <f t="shared" si="21"/>
        <v>0.14606441591223515</v>
      </c>
      <c r="N454" s="1">
        <v>6018</v>
      </c>
      <c r="O454" s="4">
        <f t="shared" si="22"/>
        <v>4.6978922716627638</v>
      </c>
      <c r="P454" s="1">
        <v>1281</v>
      </c>
      <c r="Q454" s="1">
        <v>933.69792050000001</v>
      </c>
      <c r="R454" s="1">
        <v>62902.917914438804</v>
      </c>
      <c r="S454" s="5">
        <f t="shared" si="23"/>
        <v>62901.917914438804</v>
      </c>
      <c r="T454" s="1">
        <v>533</v>
      </c>
      <c r="U454" s="1">
        <v>83</v>
      </c>
      <c r="V454" s="1">
        <v>25</v>
      </c>
      <c r="W454" s="1">
        <v>4923</v>
      </c>
      <c r="X454" s="1">
        <v>0.55986644387965701</v>
      </c>
    </row>
    <row r="455" spans="1:24" x14ac:dyDescent="0.3">
      <c r="A455" s="2">
        <v>45344</v>
      </c>
      <c r="B455" s="1" t="s">
        <v>40</v>
      </c>
      <c r="C455" s="1" t="s">
        <v>41</v>
      </c>
      <c r="D455" s="1" t="s">
        <v>32</v>
      </c>
      <c r="E455" s="1" t="s">
        <v>28</v>
      </c>
      <c r="F455" s="1">
        <v>52</v>
      </c>
      <c r="G455" s="1" t="str" cm="1">
        <f t="array" ref="G455">_xlfn.IFS(F455&lt;=25,"YOUTH",F455&lt;=48,"ADULT",TRUE,"SENIOR")</f>
        <v>SENIOR</v>
      </c>
      <c r="H455" s="1" t="s">
        <v>29</v>
      </c>
      <c r="I455" s="1" t="s">
        <v>37</v>
      </c>
      <c r="J455" s="1" t="s">
        <v>23</v>
      </c>
      <c r="K455" s="1" t="s">
        <v>39</v>
      </c>
      <c r="L455" s="1">
        <v>8689</v>
      </c>
      <c r="M455" s="3">
        <f t="shared" si="21"/>
        <v>1.5191621590516746E-2</v>
      </c>
      <c r="N455" s="1">
        <v>132</v>
      </c>
      <c r="O455" s="4">
        <f t="shared" si="22"/>
        <v>6</v>
      </c>
      <c r="P455" s="1">
        <v>22</v>
      </c>
      <c r="Q455" s="1">
        <v>763.274468424681</v>
      </c>
      <c r="R455" s="1">
        <v>124.40533665032</v>
      </c>
      <c r="S455" s="5">
        <f t="shared" si="23"/>
        <v>123.40533665032</v>
      </c>
      <c r="T455" s="1">
        <v>81</v>
      </c>
      <c r="U455" s="1">
        <v>15</v>
      </c>
      <c r="V455" s="1">
        <v>6</v>
      </c>
      <c r="W455" s="1">
        <v>195</v>
      </c>
      <c r="X455" s="1">
        <v>0.62752744505645197</v>
      </c>
    </row>
    <row r="456" spans="1:24" x14ac:dyDescent="0.3">
      <c r="A456" s="2">
        <v>45326</v>
      </c>
      <c r="B456" s="1" t="s">
        <v>40</v>
      </c>
      <c r="C456" s="1" t="s">
        <v>18</v>
      </c>
      <c r="D456" s="1" t="s">
        <v>19</v>
      </c>
      <c r="E456" s="1" t="s">
        <v>28</v>
      </c>
      <c r="F456" s="1">
        <v>50</v>
      </c>
      <c r="G456" s="1" t="str" cm="1">
        <f t="array" ref="G456">_xlfn.IFS(F456&lt;=25,"YOUTH",F456&lt;=48,"ADULT",TRUE,"SENIOR")</f>
        <v>SENIOR</v>
      </c>
      <c r="H456" s="1" t="s">
        <v>29</v>
      </c>
      <c r="I456" s="1" t="s">
        <v>33</v>
      </c>
      <c r="J456" s="1" t="s">
        <v>23</v>
      </c>
      <c r="K456" s="1" t="s">
        <v>31</v>
      </c>
      <c r="L456" s="1">
        <v>4567</v>
      </c>
      <c r="M456" s="3">
        <f t="shared" si="21"/>
        <v>5.4083643529669365E-2</v>
      </c>
      <c r="N456" s="1">
        <v>247</v>
      </c>
      <c r="O456" s="4">
        <f t="shared" si="22"/>
        <v>7.4848484848484844</v>
      </c>
      <c r="P456" s="1">
        <v>33</v>
      </c>
      <c r="Q456" s="1">
        <v>469.49884111963701</v>
      </c>
      <c r="R456" s="1">
        <v>1196.78528267199</v>
      </c>
      <c r="S456" s="5">
        <f t="shared" si="23"/>
        <v>1195.78528267199</v>
      </c>
      <c r="T456" s="1">
        <v>34</v>
      </c>
      <c r="U456" s="1">
        <v>2</v>
      </c>
      <c r="V456" s="1">
        <v>2</v>
      </c>
      <c r="W456" s="1">
        <v>261</v>
      </c>
      <c r="X456" s="1">
        <v>0.70264525382254694</v>
      </c>
    </row>
    <row r="457" spans="1:24" x14ac:dyDescent="0.3">
      <c r="A457" s="2">
        <v>45324</v>
      </c>
      <c r="B457" s="1" t="s">
        <v>25</v>
      </c>
      <c r="C457" s="1" t="s">
        <v>18</v>
      </c>
      <c r="D457" s="1" t="s">
        <v>27</v>
      </c>
      <c r="E457" s="1" t="s">
        <v>28</v>
      </c>
      <c r="F457" s="1">
        <v>50</v>
      </c>
      <c r="G457" s="1" t="str" cm="1">
        <f t="array" ref="G457">_xlfn.IFS(F457&lt;=25,"YOUTH",F457&lt;=48,"ADULT",TRUE,"SENIOR")</f>
        <v>SENIOR</v>
      </c>
      <c r="H457" s="1" t="s">
        <v>21</v>
      </c>
      <c r="I457" s="1" t="s">
        <v>37</v>
      </c>
      <c r="J457" s="1" t="s">
        <v>23</v>
      </c>
      <c r="K457" s="1" t="s">
        <v>31</v>
      </c>
      <c r="L457" s="1">
        <v>21732</v>
      </c>
      <c r="M457" s="3">
        <f t="shared" si="21"/>
        <v>5.3929688937971655E-2</v>
      </c>
      <c r="N457" s="1">
        <v>1172</v>
      </c>
      <c r="O457" s="4">
        <f t="shared" si="22"/>
        <v>5.4009216589861753</v>
      </c>
      <c r="P457" s="1">
        <v>217</v>
      </c>
      <c r="Q457" s="1">
        <v>1096.5893944434199</v>
      </c>
      <c r="R457" s="1">
        <v>6930.7881236754301</v>
      </c>
      <c r="S457" s="5">
        <f t="shared" si="23"/>
        <v>6929.7881236754301</v>
      </c>
      <c r="T457" s="1">
        <v>509</v>
      </c>
      <c r="U457" s="1">
        <v>72</v>
      </c>
      <c r="V457" s="1">
        <v>27</v>
      </c>
      <c r="W457" s="1">
        <v>2578</v>
      </c>
      <c r="X457" s="1">
        <v>0.56283488633950696</v>
      </c>
    </row>
    <row r="458" spans="1:24" x14ac:dyDescent="0.3">
      <c r="A458" s="2">
        <v>45315</v>
      </c>
      <c r="B458" s="1" t="s">
        <v>40</v>
      </c>
      <c r="C458" s="1" t="s">
        <v>35</v>
      </c>
      <c r="D458" s="1" t="s">
        <v>32</v>
      </c>
      <c r="E458" s="1" t="s">
        <v>20</v>
      </c>
      <c r="F458" s="1">
        <v>54</v>
      </c>
      <c r="G458" s="1" t="str" cm="1">
        <f t="array" ref="G458">_xlfn.IFS(F458&lt;=25,"YOUTH",F458&lt;=48,"ADULT",TRUE,"SENIOR")</f>
        <v>SENIOR</v>
      </c>
      <c r="H458" s="1" t="s">
        <v>21</v>
      </c>
      <c r="I458" s="1" t="s">
        <v>33</v>
      </c>
      <c r="J458" s="1" t="s">
        <v>23</v>
      </c>
      <c r="K458" s="1" t="s">
        <v>31</v>
      </c>
      <c r="L458" s="1">
        <v>21774</v>
      </c>
      <c r="M458" s="3">
        <f t="shared" si="21"/>
        <v>9.8649765775695786E-2</v>
      </c>
      <c r="N458" s="1">
        <v>2148</v>
      </c>
      <c r="O458" s="4">
        <f t="shared" si="22"/>
        <v>47.733333333333334</v>
      </c>
      <c r="P458" s="1">
        <v>45</v>
      </c>
      <c r="Q458" s="1">
        <v>2074.2311497104001</v>
      </c>
      <c r="R458" s="1">
        <v>537.13804048177303</v>
      </c>
      <c r="S458" s="5">
        <f t="shared" si="23"/>
        <v>536.13804048177303</v>
      </c>
      <c r="T458" s="1">
        <v>354</v>
      </c>
      <c r="U458" s="1">
        <v>38</v>
      </c>
      <c r="V458" s="1">
        <v>34</v>
      </c>
      <c r="W458" s="1">
        <v>293</v>
      </c>
      <c r="X458" s="1">
        <v>0.55826058199999995</v>
      </c>
    </row>
    <row r="459" spans="1:24" x14ac:dyDescent="0.3">
      <c r="A459" s="2">
        <v>45310</v>
      </c>
      <c r="B459" s="1" t="s">
        <v>25</v>
      </c>
      <c r="C459" s="1" t="s">
        <v>18</v>
      </c>
      <c r="D459" s="1" t="s">
        <v>19</v>
      </c>
      <c r="E459" s="1" t="s">
        <v>28</v>
      </c>
      <c r="F459" s="1">
        <v>29</v>
      </c>
      <c r="G459" s="1" t="str" cm="1">
        <f t="array" ref="G459">_xlfn.IFS(F459&lt;=25,"YOUTH",F459&lt;=48,"ADULT",TRUE,"SENIOR")</f>
        <v>ADULT</v>
      </c>
      <c r="H459" s="1" t="s">
        <v>29</v>
      </c>
      <c r="I459" s="1" t="s">
        <v>37</v>
      </c>
      <c r="J459" s="1" t="s">
        <v>23</v>
      </c>
      <c r="K459" s="1" t="s">
        <v>24</v>
      </c>
      <c r="L459" s="1">
        <v>24195</v>
      </c>
      <c r="M459" s="3">
        <f t="shared" si="21"/>
        <v>2.4798512089274645E-2</v>
      </c>
      <c r="N459" s="1">
        <v>600</v>
      </c>
      <c r="O459" s="4">
        <f t="shared" si="22"/>
        <v>6.4516129032258061</v>
      </c>
      <c r="P459" s="1">
        <v>93</v>
      </c>
      <c r="Q459" s="1">
        <v>2519.46915182056</v>
      </c>
      <c r="R459" s="1">
        <v>6045.7974130000002</v>
      </c>
      <c r="S459" s="5">
        <f t="shared" si="23"/>
        <v>6044.7974130000002</v>
      </c>
      <c r="T459" s="1">
        <v>316</v>
      </c>
      <c r="U459" s="1">
        <v>16</v>
      </c>
      <c r="V459" s="1">
        <v>24</v>
      </c>
      <c r="W459" s="1">
        <v>1394</v>
      </c>
      <c r="X459" s="1">
        <v>0.94065833593764203</v>
      </c>
    </row>
    <row r="460" spans="1:24" x14ac:dyDescent="0.3">
      <c r="A460" s="2">
        <v>45309</v>
      </c>
      <c r="B460" s="1" t="s">
        <v>34</v>
      </c>
      <c r="C460" s="1" t="s">
        <v>41</v>
      </c>
      <c r="D460" s="1" t="s">
        <v>27</v>
      </c>
      <c r="E460" s="1" t="s">
        <v>28</v>
      </c>
      <c r="F460" s="1">
        <v>20</v>
      </c>
      <c r="G460" s="1" t="str" cm="1">
        <f t="array" ref="G460">_xlfn.IFS(F460&lt;=25,"YOUTH",F460&lt;=48,"ADULT",TRUE,"SENIOR")</f>
        <v>YOUTH</v>
      </c>
      <c r="H460" s="1" t="s">
        <v>21</v>
      </c>
      <c r="I460" s="1" t="s">
        <v>37</v>
      </c>
      <c r="J460" s="1" t="s">
        <v>30</v>
      </c>
      <c r="K460" s="1" t="s">
        <v>31</v>
      </c>
      <c r="L460" s="1">
        <v>38412</v>
      </c>
      <c r="M460" s="3">
        <f t="shared" si="21"/>
        <v>9.7990211392273249E-2</v>
      </c>
      <c r="N460" s="1">
        <v>3764</v>
      </c>
      <c r="O460" s="4">
        <f t="shared" si="22"/>
        <v>4.6584158415841586</v>
      </c>
      <c r="P460" s="1">
        <v>808</v>
      </c>
      <c r="Q460" s="1">
        <v>4198.2468455640001</v>
      </c>
      <c r="R460" s="1">
        <v>46319.193427772101</v>
      </c>
      <c r="S460" s="5">
        <f t="shared" si="23"/>
        <v>46318.193427772101</v>
      </c>
      <c r="T460" s="1">
        <v>1014</v>
      </c>
      <c r="U460" s="1">
        <v>69</v>
      </c>
      <c r="V460" s="1">
        <v>25</v>
      </c>
      <c r="W460" s="1">
        <v>2056</v>
      </c>
      <c r="X460" s="1">
        <v>0.423024537646494</v>
      </c>
    </row>
    <row r="461" spans="1:24" x14ac:dyDescent="0.3">
      <c r="A461" s="2">
        <v>45340</v>
      </c>
      <c r="B461" s="1" t="s">
        <v>40</v>
      </c>
      <c r="C461" s="1" t="s">
        <v>18</v>
      </c>
      <c r="D461" s="1" t="s">
        <v>19</v>
      </c>
      <c r="E461" s="1" t="s">
        <v>28</v>
      </c>
      <c r="F461" s="1">
        <v>18</v>
      </c>
      <c r="G461" s="1" t="str" cm="1">
        <f t="array" ref="G461">_xlfn.IFS(F461&lt;=25,"YOUTH",F461&lt;=48,"ADULT",TRUE,"SENIOR")</f>
        <v>YOUTH</v>
      </c>
      <c r="H461" s="1" t="s">
        <v>21</v>
      </c>
      <c r="I461" s="1" t="s">
        <v>33</v>
      </c>
      <c r="J461" s="1" t="s">
        <v>23</v>
      </c>
      <c r="K461" s="1" t="s">
        <v>31</v>
      </c>
      <c r="L461" s="1">
        <v>48734</v>
      </c>
      <c r="M461" s="3">
        <f t="shared" si="21"/>
        <v>2.3289695079410679E-2</v>
      </c>
      <c r="N461" s="1">
        <v>1135</v>
      </c>
      <c r="O461" s="4">
        <f t="shared" si="22"/>
        <v>9.8695652173913047</v>
      </c>
      <c r="P461" s="1">
        <v>115</v>
      </c>
      <c r="Q461" s="1">
        <v>5893.5211344052695</v>
      </c>
      <c r="R461" s="1">
        <v>2294.8921654395099</v>
      </c>
      <c r="S461" s="5">
        <f t="shared" si="23"/>
        <v>2293.8921654395099</v>
      </c>
      <c r="T461" s="1">
        <v>966</v>
      </c>
      <c r="U461" s="1">
        <v>95</v>
      </c>
      <c r="V461" s="1">
        <v>76</v>
      </c>
      <c r="W461" s="1">
        <v>2800</v>
      </c>
      <c r="X461" s="1">
        <v>0.94397497775013295</v>
      </c>
    </row>
    <row r="462" spans="1:24" x14ac:dyDescent="0.3">
      <c r="A462" s="2">
        <v>45343</v>
      </c>
      <c r="B462" s="1" t="s">
        <v>25</v>
      </c>
      <c r="C462" s="1" t="s">
        <v>18</v>
      </c>
      <c r="D462" s="1" t="s">
        <v>32</v>
      </c>
      <c r="E462" s="1" t="s">
        <v>28</v>
      </c>
      <c r="F462" s="1">
        <v>50</v>
      </c>
      <c r="G462" s="1" t="str" cm="1">
        <f t="array" ref="G462">_xlfn.IFS(F462&lt;=25,"YOUTH",F462&lt;=48,"ADULT",TRUE,"SENIOR")</f>
        <v>SENIOR</v>
      </c>
      <c r="H462" s="1" t="s">
        <v>21</v>
      </c>
      <c r="I462" s="1" t="s">
        <v>43</v>
      </c>
      <c r="J462" s="1" t="s">
        <v>23</v>
      </c>
      <c r="K462" s="1" t="s">
        <v>31</v>
      </c>
      <c r="L462" s="1">
        <v>45098</v>
      </c>
      <c r="M462" s="3">
        <f t="shared" si="21"/>
        <v>2.3282628941416472E-2</v>
      </c>
      <c r="N462" s="1">
        <v>1050</v>
      </c>
      <c r="O462" s="4">
        <f t="shared" si="22"/>
        <v>22.340425531914892</v>
      </c>
      <c r="P462" s="1">
        <v>47</v>
      </c>
      <c r="Q462" s="1">
        <v>2727.2610330920002</v>
      </c>
      <c r="R462" s="1">
        <v>1017.0212182653499</v>
      </c>
      <c r="S462" s="5">
        <f t="shared" si="23"/>
        <v>1016.0212182653499</v>
      </c>
      <c r="T462" s="1">
        <v>809</v>
      </c>
      <c r="U462" s="1">
        <v>109</v>
      </c>
      <c r="V462" s="1">
        <v>17</v>
      </c>
      <c r="W462" s="1">
        <v>5040</v>
      </c>
      <c r="X462" s="1">
        <v>0.42626356759311801</v>
      </c>
    </row>
    <row r="463" spans="1:24" x14ac:dyDescent="0.3">
      <c r="A463" s="2">
        <v>45315</v>
      </c>
      <c r="B463" s="1" t="s">
        <v>17</v>
      </c>
      <c r="C463" s="1" t="s">
        <v>26</v>
      </c>
      <c r="D463" s="1" t="s">
        <v>19</v>
      </c>
      <c r="E463" s="1" t="s">
        <v>20</v>
      </c>
      <c r="F463" s="1">
        <v>57</v>
      </c>
      <c r="G463" s="1" t="str" cm="1">
        <f t="array" ref="G463">_xlfn.IFS(F463&lt;=25,"YOUTH",F463&lt;=48,"ADULT",TRUE,"SENIOR")</f>
        <v>SENIOR</v>
      </c>
      <c r="H463" s="1" t="s">
        <v>21</v>
      </c>
      <c r="I463" s="1" t="s">
        <v>33</v>
      </c>
      <c r="J463" s="1" t="s">
        <v>23</v>
      </c>
      <c r="K463" s="1" t="s">
        <v>24</v>
      </c>
      <c r="L463" s="1">
        <v>23257</v>
      </c>
      <c r="M463" s="3">
        <f t="shared" si="21"/>
        <v>0.11192329191211248</v>
      </c>
      <c r="N463" s="1">
        <v>2603</v>
      </c>
      <c r="O463" s="4">
        <f t="shared" si="22"/>
        <v>8.5625</v>
      </c>
      <c r="P463" s="1">
        <v>304</v>
      </c>
      <c r="Q463" s="1">
        <v>2181.7625278456999</v>
      </c>
      <c r="R463" s="1">
        <v>2152.67673359235</v>
      </c>
      <c r="S463" s="5">
        <f t="shared" si="23"/>
        <v>2151.67673359235</v>
      </c>
      <c r="T463" s="1">
        <v>548</v>
      </c>
      <c r="U463" s="1">
        <v>99</v>
      </c>
      <c r="V463" s="1">
        <v>39</v>
      </c>
      <c r="W463" s="1">
        <v>2804</v>
      </c>
      <c r="X463" s="1">
        <v>0.55858778528707698</v>
      </c>
    </row>
    <row r="464" spans="1:24" x14ac:dyDescent="0.3">
      <c r="A464" s="2">
        <v>45336</v>
      </c>
      <c r="B464" s="1" t="s">
        <v>40</v>
      </c>
      <c r="C464" s="1" t="s">
        <v>26</v>
      </c>
      <c r="D464" s="1" t="s">
        <v>36</v>
      </c>
      <c r="E464" s="1" t="s">
        <v>28</v>
      </c>
      <c r="F464" s="1">
        <v>27</v>
      </c>
      <c r="G464" s="1" t="str" cm="1">
        <f t="array" ref="G464">_xlfn.IFS(F464&lt;=25,"YOUTH",F464&lt;=48,"ADULT",TRUE,"SENIOR")</f>
        <v>ADULT</v>
      </c>
      <c r="H464" s="1" t="s">
        <v>21</v>
      </c>
      <c r="I464" s="1" t="s">
        <v>22</v>
      </c>
      <c r="J464" s="1" t="s">
        <v>23</v>
      </c>
      <c r="K464" s="1" t="s">
        <v>39</v>
      </c>
      <c r="L464" s="1">
        <v>5394</v>
      </c>
      <c r="M464" s="3">
        <f t="shared" si="21"/>
        <v>5.5246570263255468E-2</v>
      </c>
      <c r="N464" s="1">
        <v>298</v>
      </c>
      <c r="O464" s="4">
        <f t="shared" si="22"/>
        <v>5.418181818181818</v>
      </c>
      <c r="P464" s="1">
        <v>55</v>
      </c>
      <c r="Q464" s="1">
        <v>796.18284725152796</v>
      </c>
      <c r="R464" s="1">
        <v>1335.76488939507</v>
      </c>
      <c r="S464" s="5">
        <f t="shared" si="23"/>
        <v>1334.76488939507</v>
      </c>
      <c r="T464" s="1">
        <v>136</v>
      </c>
      <c r="U464" s="1">
        <v>22</v>
      </c>
      <c r="V464" s="1">
        <v>5</v>
      </c>
      <c r="W464" s="1">
        <v>985</v>
      </c>
      <c r="X464" s="1">
        <v>0.67152997023314198</v>
      </c>
    </row>
    <row r="465" spans="1:24" x14ac:dyDescent="0.3">
      <c r="A465" s="2">
        <v>45326</v>
      </c>
      <c r="B465" s="1" t="s">
        <v>34</v>
      </c>
      <c r="C465" s="1" t="s">
        <v>41</v>
      </c>
      <c r="D465" s="1" t="s">
        <v>27</v>
      </c>
      <c r="E465" s="1" t="s">
        <v>20</v>
      </c>
      <c r="F465" s="1">
        <v>46</v>
      </c>
      <c r="G465" s="1" t="str" cm="1">
        <f t="array" ref="G465">_xlfn.IFS(F465&lt;=25,"YOUTH",F465&lt;=48,"ADULT",TRUE,"SENIOR")</f>
        <v>ADULT</v>
      </c>
      <c r="H465" s="1" t="s">
        <v>29</v>
      </c>
      <c r="I465" s="1" t="s">
        <v>22</v>
      </c>
      <c r="J465" s="1" t="s">
        <v>23</v>
      </c>
      <c r="K465" s="1" t="s">
        <v>31</v>
      </c>
      <c r="L465" s="1">
        <v>37302</v>
      </c>
      <c r="M465" s="3">
        <f t="shared" si="21"/>
        <v>0.14682858827944884</v>
      </c>
      <c r="N465" s="1">
        <v>5477</v>
      </c>
      <c r="O465" s="4">
        <f t="shared" si="22"/>
        <v>22.446721311475411</v>
      </c>
      <c r="P465" s="1">
        <v>244</v>
      </c>
      <c r="Q465" s="1">
        <v>5101.3746010000004</v>
      </c>
      <c r="R465" s="1">
        <v>10492.105061365701</v>
      </c>
      <c r="S465" s="5">
        <f t="shared" si="23"/>
        <v>10491.105061365701</v>
      </c>
      <c r="T465" s="1">
        <v>826</v>
      </c>
      <c r="U465" s="1">
        <v>109</v>
      </c>
      <c r="V465" s="1">
        <v>62</v>
      </c>
      <c r="W465" s="1">
        <v>3108</v>
      </c>
      <c r="X465" s="1">
        <v>0.478814088657878</v>
      </c>
    </row>
    <row r="466" spans="1:24" x14ac:dyDescent="0.3">
      <c r="A466" s="2">
        <v>45292</v>
      </c>
      <c r="B466" s="1" t="s">
        <v>25</v>
      </c>
      <c r="C466" s="1" t="s">
        <v>35</v>
      </c>
      <c r="D466" s="1" t="s">
        <v>19</v>
      </c>
      <c r="E466" s="1" t="s">
        <v>20</v>
      </c>
      <c r="F466" s="1">
        <v>30</v>
      </c>
      <c r="G466" s="1" t="str" cm="1">
        <f t="array" ref="G466">_xlfn.IFS(F466&lt;=25,"YOUTH",F466&lt;=48,"ADULT",TRUE,"SENIOR")</f>
        <v>ADULT</v>
      </c>
      <c r="H466" s="1" t="s">
        <v>29</v>
      </c>
      <c r="I466" s="1" t="s">
        <v>33</v>
      </c>
      <c r="J466" s="1" t="s">
        <v>38</v>
      </c>
      <c r="K466" s="1" t="s">
        <v>31</v>
      </c>
      <c r="L466" s="1">
        <v>23228</v>
      </c>
      <c r="M466" s="3">
        <f t="shared" si="21"/>
        <v>1.5197175822283452E-2</v>
      </c>
      <c r="N466" s="1">
        <v>353</v>
      </c>
      <c r="O466" s="4">
        <f t="shared" si="22"/>
        <v>15.347826086956522</v>
      </c>
      <c r="P466" s="1">
        <v>23</v>
      </c>
      <c r="Q466" s="1">
        <v>3341.2666333029501</v>
      </c>
      <c r="R466" s="1">
        <v>744.16086563806903</v>
      </c>
      <c r="S466" s="5">
        <f t="shared" si="23"/>
        <v>743.16086563806903</v>
      </c>
      <c r="T466" s="1">
        <v>371</v>
      </c>
      <c r="U466" s="1">
        <v>22</v>
      </c>
      <c r="V466" s="1">
        <v>16</v>
      </c>
      <c r="W466" s="1">
        <v>4321</v>
      </c>
      <c r="X466" s="1">
        <v>0.47416549938529801</v>
      </c>
    </row>
    <row r="467" spans="1:24" x14ac:dyDescent="0.3">
      <c r="A467" s="2">
        <v>45327</v>
      </c>
      <c r="B467" s="1" t="s">
        <v>40</v>
      </c>
      <c r="C467" s="1" t="s">
        <v>26</v>
      </c>
      <c r="D467" s="1" t="s">
        <v>32</v>
      </c>
      <c r="E467" s="1" t="s">
        <v>20</v>
      </c>
      <c r="F467" s="1">
        <v>29</v>
      </c>
      <c r="G467" s="1" t="str" cm="1">
        <f t="array" ref="G467">_xlfn.IFS(F467&lt;=25,"YOUTH",F467&lt;=48,"ADULT",TRUE,"SENIOR")</f>
        <v>ADULT</v>
      </c>
      <c r="H467" s="1" t="s">
        <v>29</v>
      </c>
      <c r="I467" s="1" t="s">
        <v>37</v>
      </c>
      <c r="J467" s="1" t="s">
        <v>23</v>
      </c>
      <c r="K467" s="1" t="s">
        <v>31</v>
      </c>
      <c r="L467" s="1">
        <v>13388</v>
      </c>
      <c r="M467" s="3">
        <f t="shared" si="21"/>
        <v>7.230355542276666E-2</v>
      </c>
      <c r="N467" s="1">
        <v>968</v>
      </c>
      <c r="O467" s="4">
        <f t="shared" si="22"/>
        <v>18.615384615384617</v>
      </c>
      <c r="P467" s="1">
        <v>52</v>
      </c>
      <c r="Q467" s="1">
        <v>939.80723345506601</v>
      </c>
      <c r="R467" s="1">
        <v>3536.0834673725199</v>
      </c>
      <c r="S467" s="5">
        <f t="shared" si="23"/>
        <v>3535.0834673725199</v>
      </c>
      <c r="T467" s="1">
        <v>193</v>
      </c>
      <c r="U467" s="1">
        <v>17</v>
      </c>
      <c r="V467" s="1">
        <v>17</v>
      </c>
      <c r="W467" s="1">
        <v>1792</v>
      </c>
      <c r="X467" s="1">
        <v>0.54097199229352</v>
      </c>
    </row>
    <row r="468" spans="1:24" x14ac:dyDescent="0.3">
      <c r="A468" s="2">
        <v>45316</v>
      </c>
      <c r="B468" s="1" t="s">
        <v>40</v>
      </c>
      <c r="C468" s="1" t="s">
        <v>35</v>
      </c>
      <c r="D468" s="1" t="s">
        <v>27</v>
      </c>
      <c r="E468" s="1" t="s">
        <v>28</v>
      </c>
      <c r="F468" s="1">
        <v>48</v>
      </c>
      <c r="G468" s="1" t="str" cm="1">
        <f t="array" ref="G468">_xlfn.IFS(F468&lt;=25,"YOUTH",F468&lt;=48,"ADULT",TRUE,"SENIOR")</f>
        <v>ADULT</v>
      </c>
      <c r="H468" s="1" t="s">
        <v>29</v>
      </c>
      <c r="I468" s="1" t="s">
        <v>22</v>
      </c>
      <c r="J468" s="1" t="s">
        <v>38</v>
      </c>
      <c r="K468" s="1" t="s">
        <v>31</v>
      </c>
      <c r="L468" s="1">
        <v>12319</v>
      </c>
      <c r="M468" s="3">
        <f t="shared" si="21"/>
        <v>2.5813783586330061E-2</v>
      </c>
      <c r="N468" s="1">
        <v>318</v>
      </c>
      <c r="O468" s="4">
        <f t="shared" si="22"/>
        <v>4.96875</v>
      </c>
      <c r="P468" s="1">
        <v>64</v>
      </c>
      <c r="Q468" s="1">
        <v>1506.6217537503201</v>
      </c>
      <c r="R468" s="1">
        <v>553.29350413686996</v>
      </c>
      <c r="S468" s="5">
        <f t="shared" si="23"/>
        <v>552.29350413686996</v>
      </c>
      <c r="T468" s="1">
        <v>299</v>
      </c>
      <c r="U468" s="1">
        <v>31</v>
      </c>
      <c r="V468" s="1">
        <v>14</v>
      </c>
      <c r="W468" s="1">
        <v>2259</v>
      </c>
      <c r="X468" s="1">
        <v>0.93542895096546297</v>
      </c>
    </row>
    <row r="469" spans="1:24" x14ac:dyDescent="0.3">
      <c r="A469" s="2">
        <v>45336</v>
      </c>
      <c r="B469" s="1" t="s">
        <v>40</v>
      </c>
      <c r="C469" s="1" t="s">
        <v>41</v>
      </c>
      <c r="D469" s="1" t="s">
        <v>36</v>
      </c>
      <c r="E469" s="1" t="s">
        <v>28</v>
      </c>
      <c r="F469" s="1">
        <v>19</v>
      </c>
      <c r="G469" s="1" t="str" cm="1">
        <f t="array" ref="G469">_xlfn.IFS(F469&lt;=25,"YOUTH",F469&lt;=48,"ADULT",TRUE,"SENIOR")</f>
        <v>YOUTH</v>
      </c>
      <c r="H469" s="1" t="s">
        <v>21</v>
      </c>
      <c r="I469" s="1" t="s">
        <v>22</v>
      </c>
      <c r="J469" s="1" t="s">
        <v>23</v>
      </c>
      <c r="K469" s="1" t="s">
        <v>24</v>
      </c>
      <c r="L469" s="1">
        <v>7475</v>
      </c>
      <c r="M469" s="3">
        <f t="shared" si="21"/>
        <v>5.9130434782608696E-2</v>
      </c>
      <c r="N469" s="1">
        <v>442</v>
      </c>
      <c r="O469" s="4">
        <f t="shared" si="22"/>
        <v>29.466666666666665</v>
      </c>
      <c r="P469" s="1">
        <v>15</v>
      </c>
      <c r="Q469" s="1">
        <v>751.88583462311794</v>
      </c>
      <c r="R469" s="1">
        <v>651.644404926535</v>
      </c>
      <c r="S469" s="5">
        <f t="shared" si="23"/>
        <v>650.644404926535</v>
      </c>
      <c r="T469" s="1">
        <v>134</v>
      </c>
      <c r="U469" s="1">
        <v>19</v>
      </c>
      <c r="V469" s="1">
        <v>9</v>
      </c>
      <c r="W469" s="1">
        <v>1258</v>
      </c>
      <c r="X469" s="1">
        <v>0.60906427238101002</v>
      </c>
    </row>
    <row r="470" spans="1:24" x14ac:dyDescent="0.3">
      <c r="A470" s="2">
        <v>45340</v>
      </c>
      <c r="B470" s="1" t="s">
        <v>34</v>
      </c>
      <c r="C470" s="1" t="s">
        <v>26</v>
      </c>
      <c r="D470" s="1" t="s">
        <v>27</v>
      </c>
      <c r="E470" s="1" t="s">
        <v>28</v>
      </c>
      <c r="F470" s="1">
        <v>52</v>
      </c>
      <c r="G470" s="1" t="str" cm="1">
        <f t="array" ref="G470">_xlfn.IFS(F470&lt;=25,"YOUTH",F470&lt;=48,"ADULT",TRUE,"SENIOR")</f>
        <v>SENIOR</v>
      </c>
      <c r="H470" s="1" t="s">
        <v>21</v>
      </c>
      <c r="I470" s="1" t="s">
        <v>37</v>
      </c>
      <c r="J470" s="1" t="s">
        <v>38</v>
      </c>
      <c r="K470" s="1" t="s">
        <v>39</v>
      </c>
      <c r="L470" s="1">
        <v>32555</v>
      </c>
      <c r="M470" s="3">
        <f t="shared" si="21"/>
        <v>0.14974658270618951</v>
      </c>
      <c r="N470" s="1">
        <v>4875</v>
      </c>
      <c r="O470" s="4">
        <f t="shared" si="22"/>
        <v>5.6228373702422143</v>
      </c>
      <c r="P470" s="1">
        <v>867</v>
      </c>
      <c r="Q470" s="1">
        <v>1001.24728178186</v>
      </c>
      <c r="R470" s="1">
        <v>52705.028519774598</v>
      </c>
      <c r="S470" s="5">
        <f t="shared" si="23"/>
        <v>52704.028519774598</v>
      </c>
      <c r="T470" s="1">
        <v>736</v>
      </c>
      <c r="U470" s="1">
        <v>43</v>
      </c>
      <c r="V470" s="1">
        <v>31</v>
      </c>
      <c r="W470" s="1">
        <v>4578</v>
      </c>
      <c r="X470" s="1">
        <v>0.71129716104805496</v>
      </c>
    </row>
    <row r="471" spans="1:24" x14ac:dyDescent="0.3">
      <c r="A471" s="2">
        <v>45351</v>
      </c>
      <c r="B471" s="1" t="s">
        <v>25</v>
      </c>
      <c r="C471" s="1" t="s">
        <v>35</v>
      </c>
      <c r="D471" s="1" t="s">
        <v>36</v>
      </c>
      <c r="E471" s="1" t="s">
        <v>28</v>
      </c>
      <c r="F471" s="1">
        <v>40</v>
      </c>
      <c r="G471" s="1" t="str" cm="1">
        <f t="array" ref="G471">_xlfn.IFS(F471&lt;=25,"YOUTH",F471&lt;=48,"ADULT",TRUE,"SENIOR")</f>
        <v>ADULT</v>
      </c>
      <c r="H471" s="1" t="s">
        <v>29</v>
      </c>
      <c r="I471" s="1" t="s">
        <v>37</v>
      </c>
      <c r="J471" s="1" t="s">
        <v>38</v>
      </c>
      <c r="K471" s="1" t="s">
        <v>31</v>
      </c>
      <c r="L471" s="1">
        <v>19158</v>
      </c>
      <c r="M471" s="3">
        <f t="shared" si="21"/>
        <v>0.13440860215053763</v>
      </c>
      <c r="N471" s="1">
        <v>2575</v>
      </c>
      <c r="O471" s="4">
        <f t="shared" si="22"/>
        <v>9.6082089552238799</v>
      </c>
      <c r="P471" s="1">
        <v>268</v>
      </c>
      <c r="Q471" s="1">
        <v>2435.31611841123</v>
      </c>
      <c r="R471" s="1">
        <v>9714.5066941773603</v>
      </c>
      <c r="S471" s="5">
        <f t="shared" si="23"/>
        <v>9713.5066941773603</v>
      </c>
      <c r="T471" s="1">
        <v>522</v>
      </c>
      <c r="U471" s="1">
        <v>67</v>
      </c>
      <c r="V471" s="1">
        <v>48</v>
      </c>
      <c r="W471" s="1">
        <v>1487</v>
      </c>
      <c r="X471" s="1">
        <v>0.78736027130990505</v>
      </c>
    </row>
    <row r="472" spans="1:24" x14ac:dyDescent="0.3">
      <c r="A472" s="2">
        <v>45334</v>
      </c>
      <c r="B472" s="1" t="s">
        <v>17</v>
      </c>
      <c r="C472" s="1" t="s">
        <v>26</v>
      </c>
      <c r="D472" s="1" t="s">
        <v>27</v>
      </c>
      <c r="E472" s="1" t="s">
        <v>20</v>
      </c>
      <c r="F472" s="1">
        <v>34</v>
      </c>
      <c r="G472" s="1" t="str" cm="1">
        <f t="array" ref="G472">_xlfn.IFS(F472&lt;=25,"YOUTH",F472&lt;=48,"ADULT",TRUE,"SENIOR")</f>
        <v>ADULT</v>
      </c>
      <c r="H472" s="1" t="s">
        <v>21</v>
      </c>
      <c r="I472" s="1" t="s">
        <v>43</v>
      </c>
      <c r="J472" s="1" t="s">
        <v>23</v>
      </c>
      <c r="K472" s="1" t="s">
        <v>24</v>
      </c>
      <c r="L472" s="1">
        <v>15728</v>
      </c>
      <c r="M472" s="3">
        <f t="shared" si="21"/>
        <v>1.6721770091556461E-2</v>
      </c>
      <c r="N472" s="1">
        <v>263</v>
      </c>
      <c r="O472" s="4">
        <f t="shared" si="22"/>
        <v>5.26</v>
      </c>
      <c r="P472" s="1">
        <v>50</v>
      </c>
      <c r="Q472" s="1">
        <v>1698.9883536913201</v>
      </c>
      <c r="R472" s="1">
        <v>259.62884182128897</v>
      </c>
      <c r="S472" s="5">
        <f t="shared" si="23"/>
        <v>258.62884182128897</v>
      </c>
      <c r="T472" s="1">
        <v>438</v>
      </c>
      <c r="U472" s="1">
        <v>81</v>
      </c>
      <c r="V472" s="1">
        <v>36</v>
      </c>
      <c r="W472" s="1">
        <v>877</v>
      </c>
      <c r="X472" s="1">
        <v>0.80822200953831502</v>
      </c>
    </row>
    <row r="473" spans="1:24" x14ac:dyDescent="0.3">
      <c r="A473" s="2">
        <v>45325</v>
      </c>
      <c r="B473" s="1" t="s">
        <v>17</v>
      </c>
      <c r="C473" s="1" t="s">
        <v>41</v>
      </c>
      <c r="D473" s="1" t="s">
        <v>19</v>
      </c>
      <c r="E473" s="1" t="s">
        <v>20</v>
      </c>
      <c r="F473" s="1">
        <v>43</v>
      </c>
      <c r="G473" s="1" t="str" cm="1">
        <f t="array" ref="G473">_xlfn.IFS(F473&lt;=25,"YOUTH",F473&lt;=48,"ADULT",TRUE,"SENIOR")</f>
        <v>ADULT</v>
      </c>
      <c r="H473" s="1" t="s">
        <v>29</v>
      </c>
      <c r="I473" s="1" t="s">
        <v>37</v>
      </c>
      <c r="J473" s="1" t="s">
        <v>23</v>
      </c>
      <c r="K473" s="1" t="s">
        <v>31</v>
      </c>
      <c r="L473" s="1">
        <v>45774</v>
      </c>
      <c r="M473" s="3">
        <f t="shared" si="21"/>
        <v>8.8849565255385149E-2</v>
      </c>
      <c r="N473" s="1">
        <v>4067</v>
      </c>
      <c r="O473" s="4">
        <f t="shared" si="22"/>
        <v>4.1373346897253303</v>
      </c>
      <c r="P473" s="1">
        <v>983</v>
      </c>
      <c r="Q473" s="1">
        <v>2099.1616178787299</v>
      </c>
      <c r="R473" s="1">
        <v>20428.8018313998</v>
      </c>
      <c r="S473" s="5">
        <f t="shared" si="23"/>
        <v>20427.8018313998</v>
      </c>
      <c r="T473" s="1">
        <v>546</v>
      </c>
      <c r="U473" s="1">
        <v>85</v>
      </c>
      <c r="V473" s="1">
        <v>21</v>
      </c>
      <c r="W473" s="1">
        <v>2391</v>
      </c>
      <c r="X473" s="1">
        <v>0.778422531489945</v>
      </c>
    </row>
    <row r="474" spans="1:24" x14ac:dyDescent="0.3">
      <c r="A474" s="2">
        <v>45316</v>
      </c>
      <c r="B474" s="1" t="s">
        <v>17</v>
      </c>
      <c r="C474" s="1" t="s">
        <v>41</v>
      </c>
      <c r="D474" s="1" t="s">
        <v>19</v>
      </c>
      <c r="E474" s="1" t="s">
        <v>28</v>
      </c>
      <c r="F474" s="1">
        <v>25</v>
      </c>
      <c r="G474" s="1" t="str" cm="1">
        <f t="array" ref="G474">_xlfn.IFS(F474&lt;=25,"YOUTH",F474&lt;=48,"ADULT",TRUE,"SENIOR")</f>
        <v>YOUTH</v>
      </c>
      <c r="H474" s="1" t="s">
        <v>42</v>
      </c>
      <c r="I474" s="1" t="s">
        <v>33</v>
      </c>
      <c r="J474" s="1" t="s">
        <v>30</v>
      </c>
      <c r="K474" s="1" t="s">
        <v>39</v>
      </c>
      <c r="L474" s="1">
        <v>30545</v>
      </c>
      <c r="M474" s="3">
        <f t="shared" si="21"/>
        <v>0.10067114093959731</v>
      </c>
      <c r="N474" s="1">
        <v>3075</v>
      </c>
      <c r="O474" s="4">
        <f t="shared" si="22"/>
        <v>21.654929577464788</v>
      </c>
      <c r="P474" s="1">
        <v>142</v>
      </c>
      <c r="Q474" s="1">
        <v>927.52985076877599</v>
      </c>
      <c r="R474" s="1">
        <v>3698.3876454153201</v>
      </c>
      <c r="S474" s="5">
        <f t="shared" si="23"/>
        <v>3697.3876454153201</v>
      </c>
      <c r="T474" s="1">
        <v>296</v>
      </c>
      <c r="U474" s="1">
        <v>50</v>
      </c>
      <c r="V474" s="1">
        <v>28</v>
      </c>
      <c r="W474" s="1">
        <v>5831</v>
      </c>
      <c r="X474" s="1">
        <v>0.585310506255448</v>
      </c>
    </row>
    <row r="475" spans="1:24" x14ac:dyDescent="0.3">
      <c r="A475" s="2">
        <v>45307</v>
      </c>
      <c r="B475" s="1" t="s">
        <v>25</v>
      </c>
      <c r="C475" s="1" t="s">
        <v>26</v>
      </c>
      <c r="D475" s="1" t="s">
        <v>32</v>
      </c>
      <c r="E475" s="1" t="s">
        <v>28</v>
      </c>
      <c r="F475" s="1">
        <v>46</v>
      </c>
      <c r="G475" s="1" t="str" cm="1">
        <f t="array" ref="G475">_xlfn.IFS(F475&lt;=25,"YOUTH",F475&lt;=48,"ADULT",TRUE,"SENIOR")</f>
        <v>ADULT</v>
      </c>
      <c r="H475" s="1" t="s">
        <v>42</v>
      </c>
      <c r="I475" s="1" t="s">
        <v>33</v>
      </c>
      <c r="J475" s="1" t="s">
        <v>23</v>
      </c>
      <c r="K475" s="1" t="s">
        <v>24</v>
      </c>
      <c r="L475" s="1">
        <v>32100</v>
      </c>
      <c r="M475" s="3">
        <f t="shared" si="21"/>
        <v>3.9314641744548288E-2</v>
      </c>
      <c r="N475" s="1">
        <v>1262</v>
      </c>
      <c r="O475" s="4">
        <f t="shared" si="22"/>
        <v>10.879310344827585</v>
      </c>
      <c r="P475" s="1">
        <v>116</v>
      </c>
      <c r="Q475" s="1">
        <v>4134.8933511954801</v>
      </c>
      <c r="R475" s="1">
        <v>7863.59848896326</v>
      </c>
      <c r="S475" s="5">
        <f t="shared" si="23"/>
        <v>7862.59848896326</v>
      </c>
      <c r="T475" s="1">
        <v>370</v>
      </c>
      <c r="U475" s="1">
        <v>56</v>
      </c>
      <c r="V475" s="1">
        <v>17</v>
      </c>
      <c r="W475" s="1">
        <v>6167</v>
      </c>
      <c r="X475" s="1">
        <v>0.46145030504583401</v>
      </c>
    </row>
    <row r="476" spans="1:24" x14ac:dyDescent="0.3">
      <c r="A476" s="2">
        <v>45325</v>
      </c>
      <c r="B476" s="1" t="s">
        <v>17</v>
      </c>
      <c r="C476" s="1" t="s">
        <v>35</v>
      </c>
      <c r="D476" s="1" t="s">
        <v>36</v>
      </c>
      <c r="E476" s="1" t="s">
        <v>28</v>
      </c>
      <c r="F476" s="1">
        <v>43</v>
      </c>
      <c r="G476" s="1" t="str" cm="1">
        <f t="array" ref="G476">_xlfn.IFS(F476&lt;=25,"YOUTH",F476&lt;=48,"ADULT",TRUE,"SENIOR")</f>
        <v>ADULT</v>
      </c>
      <c r="H476" s="1" t="s">
        <v>29</v>
      </c>
      <c r="I476" s="1" t="s">
        <v>43</v>
      </c>
      <c r="J476" s="1" t="s">
        <v>38</v>
      </c>
      <c r="K476" s="1" t="s">
        <v>31</v>
      </c>
      <c r="L476" s="1">
        <v>17150</v>
      </c>
      <c r="M476" s="3">
        <f t="shared" si="21"/>
        <v>3.0262390670553935E-2</v>
      </c>
      <c r="N476" s="1">
        <v>519</v>
      </c>
      <c r="O476" s="4">
        <f t="shared" si="22"/>
        <v>4.8504672897196262</v>
      </c>
      <c r="P476" s="1">
        <v>107</v>
      </c>
      <c r="Q476" s="1">
        <v>518.91162885063204</v>
      </c>
      <c r="R476" s="1">
        <v>6876.3831751881498</v>
      </c>
      <c r="S476" s="5">
        <f t="shared" si="23"/>
        <v>6875.3831751881498</v>
      </c>
      <c r="T476" s="1">
        <v>407</v>
      </c>
      <c r="U476" s="1">
        <v>32</v>
      </c>
      <c r="V476" s="1">
        <v>29</v>
      </c>
      <c r="W476" s="1">
        <v>2533</v>
      </c>
      <c r="X476" s="1">
        <v>0.55494406100000004</v>
      </c>
    </row>
    <row r="477" spans="1:24" x14ac:dyDescent="0.3">
      <c r="A477" s="2">
        <v>45320</v>
      </c>
      <c r="B477" s="1" t="s">
        <v>34</v>
      </c>
      <c r="C477" s="1" t="s">
        <v>18</v>
      </c>
      <c r="D477" s="1" t="s">
        <v>32</v>
      </c>
      <c r="E477" s="1" t="s">
        <v>28</v>
      </c>
      <c r="F477" s="1">
        <v>27</v>
      </c>
      <c r="G477" s="1" t="str" cm="1">
        <f t="array" ref="G477">_xlfn.IFS(F477&lt;=25,"YOUTH",F477&lt;=48,"ADULT",TRUE,"SENIOR")</f>
        <v>ADULT</v>
      </c>
      <c r="H477" s="1" t="s">
        <v>21</v>
      </c>
      <c r="I477" s="1" t="s">
        <v>22</v>
      </c>
      <c r="J477" s="1" t="s">
        <v>23</v>
      </c>
      <c r="K477" s="1" t="s">
        <v>39</v>
      </c>
      <c r="L477" s="1">
        <v>34214</v>
      </c>
      <c r="M477" s="3">
        <f t="shared" si="21"/>
        <v>0.1366107441398258</v>
      </c>
      <c r="N477" s="1">
        <v>4674</v>
      </c>
      <c r="O477" s="4">
        <f t="shared" si="22"/>
        <v>12.33245382585752</v>
      </c>
      <c r="P477" s="1">
        <v>379</v>
      </c>
      <c r="Q477" s="1">
        <v>1090.6055494541399</v>
      </c>
      <c r="R477" s="1">
        <v>25277.8153933264</v>
      </c>
      <c r="S477" s="5">
        <f t="shared" si="23"/>
        <v>25276.8153933264</v>
      </c>
      <c r="T477" s="1">
        <v>487</v>
      </c>
      <c r="U477" s="1">
        <v>32</v>
      </c>
      <c r="V477" s="1">
        <v>38</v>
      </c>
      <c r="W477" s="1">
        <v>6087</v>
      </c>
      <c r="X477" s="1">
        <v>0.51566237472322796</v>
      </c>
    </row>
    <row r="478" spans="1:24" x14ac:dyDescent="0.3">
      <c r="A478" s="2">
        <v>45310</v>
      </c>
      <c r="B478" s="1" t="s">
        <v>25</v>
      </c>
      <c r="C478" s="1" t="s">
        <v>18</v>
      </c>
      <c r="D478" s="1" t="s">
        <v>19</v>
      </c>
      <c r="E478" s="1" t="s">
        <v>28</v>
      </c>
      <c r="F478" s="1">
        <v>43</v>
      </c>
      <c r="G478" s="1" t="str" cm="1">
        <f t="array" ref="G478">_xlfn.IFS(F478&lt;=25,"YOUTH",F478&lt;=48,"ADULT",TRUE,"SENIOR")</f>
        <v>ADULT</v>
      </c>
      <c r="H478" s="1" t="s">
        <v>29</v>
      </c>
      <c r="I478" s="1" t="s">
        <v>22</v>
      </c>
      <c r="J478" s="1" t="s">
        <v>23</v>
      </c>
      <c r="K478" s="1" t="s">
        <v>31</v>
      </c>
      <c r="L478" s="1">
        <v>33876</v>
      </c>
      <c r="M478" s="3">
        <f t="shared" si="21"/>
        <v>0.14561931751092219</v>
      </c>
      <c r="N478" s="1">
        <v>4933</v>
      </c>
      <c r="O478" s="4">
        <f t="shared" si="22"/>
        <v>14.423976608187134</v>
      </c>
      <c r="P478" s="1">
        <v>342</v>
      </c>
      <c r="Q478" s="1">
        <v>2559.77481093605</v>
      </c>
      <c r="R478" s="1">
        <v>20066.610512825198</v>
      </c>
      <c r="S478" s="5">
        <f t="shared" si="23"/>
        <v>20065.610512825198</v>
      </c>
      <c r="T478" s="1">
        <v>316</v>
      </c>
      <c r="U478" s="1">
        <v>55</v>
      </c>
      <c r="V478" s="1">
        <v>6</v>
      </c>
      <c r="W478" s="1">
        <v>6253</v>
      </c>
      <c r="X478" s="1">
        <v>0.47495251767812402</v>
      </c>
    </row>
    <row r="479" spans="1:24" x14ac:dyDescent="0.3">
      <c r="A479" s="2">
        <v>45314</v>
      </c>
      <c r="B479" s="1" t="s">
        <v>40</v>
      </c>
      <c r="C479" s="1" t="s">
        <v>26</v>
      </c>
      <c r="D479" s="1" t="s">
        <v>36</v>
      </c>
      <c r="E479" s="1" t="s">
        <v>28</v>
      </c>
      <c r="F479" s="1">
        <v>51</v>
      </c>
      <c r="G479" s="1" t="str" cm="1">
        <f t="array" ref="G479">_xlfn.IFS(F479&lt;=25,"YOUTH",F479&lt;=48,"ADULT",TRUE,"SENIOR")</f>
        <v>SENIOR</v>
      </c>
      <c r="H479" s="1" t="s">
        <v>21</v>
      </c>
      <c r="I479" s="1" t="s">
        <v>37</v>
      </c>
      <c r="J479" s="1" t="s">
        <v>38</v>
      </c>
      <c r="K479" s="1" t="s">
        <v>31</v>
      </c>
      <c r="L479" s="1">
        <v>4239</v>
      </c>
      <c r="M479" s="3">
        <f t="shared" si="21"/>
        <v>0.14885586223165842</v>
      </c>
      <c r="N479" s="1">
        <v>631</v>
      </c>
      <c r="O479" s="4">
        <f t="shared" si="22"/>
        <v>4.7803030303030303</v>
      </c>
      <c r="P479" s="1">
        <v>132</v>
      </c>
      <c r="Q479" s="1">
        <v>159.06303930712099</v>
      </c>
      <c r="R479" s="1">
        <v>3677.1375586972899</v>
      </c>
      <c r="S479" s="5">
        <f t="shared" si="23"/>
        <v>3676.1375586972899</v>
      </c>
      <c r="T479" s="1">
        <v>31</v>
      </c>
      <c r="U479" s="1">
        <v>4</v>
      </c>
      <c r="V479" s="1">
        <v>2</v>
      </c>
      <c r="W479" s="1">
        <v>454</v>
      </c>
      <c r="X479" s="1">
        <v>0.41347320246338998</v>
      </c>
    </row>
    <row r="480" spans="1:24" x14ac:dyDescent="0.3">
      <c r="A480" s="2">
        <v>45310</v>
      </c>
      <c r="B480" s="1" t="s">
        <v>34</v>
      </c>
      <c r="C480" s="1" t="s">
        <v>35</v>
      </c>
      <c r="D480" s="1" t="s">
        <v>32</v>
      </c>
      <c r="E480" s="1" t="s">
        <v>28</v>
      </c>
      <c r="F480" s="1">
        <v>58</v>
      </c>
      <c r="G480" s="1" t="str" cm="1">
        <f t="array" ref="G480">_xlfn.IFS(F480&lt;=25,"YOUTH",F480&lt;=48,"ADULT",TRUE,"SENIOR")</f>
        <v>SENIOR</v>
      </c>
      <c r="H480" s="1" t="s">
        <v>21</v>
      </c>
      <c r="I480" s="1" t="s">
        <v>33</v>
      </c>
      <c r="J480" s="1" t="s">
        <v>38</v>
      </c>
      <c r="K480" s="1" t="s">
        <v>31</v>
      </c>
      <c r="L480" s="1">
        <v>39699</v>
      </c>
      <c r="M480" s="3">
        <f t="shared" si="21"/>
        <v>0.12055719287639487</v>
      </c>
      <c r="N480" s="1">
        <v>4786</v>
      </c>
      <c r="O480" s="4">
        <f t="shared" si="22"/>
        <v>4.0490693739424701</v>
      </c>
      <c r="P480" s="1">
        <v>1182</v>
      </c>
      <c r="Q480" s="1">
        <v>5509.3100153542</v>
      </c>
      <c r="R480" s="1">
        <v>75508.485509651</v>
      </c>
      <c r="S480" s="5">
        <f t="shared" si="23"/>
        <v>75507.485509651</v>
      </c>
      <c r="T480" s="1">
        <v>523</v>
      </c>
      <c r="U480" s="1">
        <v>71</v>
      </c>
      <c r="V480" s="1">
        <v>24</v>
      </c>
      <c r="W480" s="1">
        <v>5141</v>
      </c>
      <c r="X480" s="1">
        <v>0.91464921698212698</v>
      </c>
    </row>
    <row r="481" spans="1:24" x14ac:dyDescent="0.3">
      <c r="A481" s="2">
        <v>45316</v>
      </c>
      <c r="B481" s="1" t="s">
        <v>40</v>
      </c>
      <c r="C481" s="1" t="s">
        <v>18</v>
      </c>
      <c r="D481" s="1" t="s">
        <v>32</v>
      </c>
      <c r="E481" s="1" t="s">
        <v>20</v>
      </c>
      <c r="F481" s="1">
        <v>24</v>
      </c>
      <c r="G481" s="1" t="str" cm="1">
        <f t="array" ref="G481">_xlfn.IFS(F481&lt;=25,"YOUTH",F481&lt;=48,"ADULT",TRUE,"SENIOR")</f>
        <v>YOUTH</v>
      </c>
      <c r="H481" s="1" t="s">
        <v>29</v>
      </c>
      <c r="I481" s="1" t="s">
        <v>22</v>
      </c>
      <c r="J481" s="1" t="s">
        <v>23</v>
      </c>
      <c r="K481" s="1" t="s">
        <v>31</v>
      </c>
      <c r="L481" s="1">
        <v>37821</v>
      </c>
      <c r="M481" s="3">
        <f t="shared" si="21"/>
        <v>0.10287935274054097</v>
      </c>
      <c r="N481" s="1">
        <v>3891</v>
      </c>
      <c r="O481" s="4">
        <f t="shared" si="22"/>
        <v>6.755208333333333</v>
      </c>
      <c r="P481" s="1">
        <v>576</v>
      </c>
      <c r="Q481" s="1">
        <v>3068.6791379435399</v>
      </c>
      <c r="R481" s="1">
        <v>39634.2679022831</v>
      </c>
      <c r="S481" s="5">
        <f t="shared" si="23"/>
        <v>39633.2679022831</v>
      </c>
      <c r="T481" s="1">
        <v>317</v>
      </c>
      <c r="U481" s="1">
        <v>24</v>
      </c>
      <c r="V481" s="1">
        <v>11</v>
      </c>
      <c r="W481" s="1">
        <v>3387</v>
      </c>
      <c r="X481" s="1">
        <v>0.90656891299999998</v>
      </c>
    </row>
    <row r="482" spans="1:24" x14ac:dyDescent="0.3">
      <c r="A482" s="2">
        <v>45307</v>
      </c>
      <c r="B482" s="1" t="s">
        <v>17</v>
      </c>
      <c r="C482" s="1" t="s">
        <v>41</v>
      </c>
      <c r="D482" s="1" t="s">
        <v>32</v>
      </c>
      <c r="E482" s="1" t="s">
        <v>20</v>
      </c>
      <c r="F482" s="1">
        <v>21</v>
      </c>
      <c r="G482" s="1" t="str" cm="1">
        <f t="array" ref="G482">_xlfn.IFS(F482&lt;=25,"YOUTH",F482&lt;=48,"ADULT",TRUE,"SENIOR")</f>
        <v>YOUTH</v>
      </c>
      <c r="H482" s="1" t="s">
        <v>21</v>
      </c>
      <c r="I482" s="1" t="s">
        <v>43</v>
      </c>
      <c r="J482" s="1" t="s">
        <v>38</v>
      </c>
      <c r="K482" s="1" t="s">
        <v>39</v>
      </c>
      <c r="L482" s="1">
        <v>31615</v>
      </c>
      <c r="M482" s="3">
        <f t="shared" si="21"/>
        <v>5.8390004744583265E-2</v>
      </c>
      <c r="N482" s="1">
        <v>1846</v>
      </c>
      <c r="O482" s="4">
        <f t="shared" si="22"/>
        <v>11.987012987012987</v>
      </c>
      <c r="P482" s="1">
        <v>154</v>
      </c>
      <c r="Q482" s="1">
        <v>2971.48207294125</v>
      </c>
      <c r="R482" s="1">
        <v>4274.2138358722696</v>
      </c>
      <c r="S482" s="5">
        <f t="shared" si="23"/>
        <v>4273.2138358722696</v>
      </c>
      <c r="T482" s="1">
        <v>281</v>
      </c>
      <c r="U482" s="1">
        <v>39</v>
      </c>
      <c r="V482" s="1">
        <v>24</v>
      </c>
      <c r="W482" s="1">
        <v>2829</v>
      </c>
      <c r="X482" s="1">
        <v>0.42772935309659299</v>
      </c>
    </row>
    <row r="483" spans="1:24" x14ac:dyDescent="0.3">
      <c r="A483" s="2">
        <v>45345</v>
      </c>
      <c r="B483" s="1" t="s">
        <v>34</v>
      </c>
      <c r="C483" s="1" t="s">
        <v>35</v>
      </c>
      <c r="D483" s="1" t="s">
        <v>32</v>
      </c>
      <c r="E483" s="1" t="s">
        <v>20</v>
      </c>
      <c r="F483" s="1">
        <v>28</v>
      </c>
      <c r="G483" s="1" t="str" cm="1">
        <f t="array" ref="G483">_xlfn.IFS(F483&lt;=25,"YOUTH",F483&lt;=48,"ADULT",TRUE,"SENIOR")</f>
        <v>ADULT</v>
      </c>
      <c r="H483" s="1" t="s">
        <v>29</v>
      </c>
      <c r="I483" s="1" t="s">
        <v>43</v>
      </c>
      <c r="J483" s="1" t="s">
        <v>23</v>
      </c>
      <c r="K483" s="1" t="s">
        <v>24</v>
      </c>
      <c r="L483" s="1">
        <v>14746</v>
      </c>
      <c r="M483" s="3">
        <f t="shared" si="21"/>
        <v>3.3975315339753155E-2</v>
      </c>
      <c r="N483" s="1">
        <v>501</v>
      </c>
      <c r="O483" s="4">
        <f t="shared" si="22"/>
        <v>9.1090909090909093</v>
      </c>
      <c r="P483" s="1">
        <v>55</v>
      </c>
      <c r="Q483" s="1">
        <v>2074.0808114076999</v>
      </c>
      <c r="R483" s="1">
        <v>1206.4875784015501</v>
      </c>
      <c r="S483" s="5">
        <f t="shared" si="23"/>
        <v>1205.4875784015501</v>
      </c>
      <c r="T483" s="1">
        <v>325</v>
      </c>
      <c r="U483" s="1">
        <v>17</v>
      </c>
      <c r="V483" s="1">
        <v>24</v>
      </c>
      <c r="W483" s="1">
        <v>255</v>
      </c>
      <c r="X483" s="1">
        <v>0.495196515</v>
      </c>
    </row>
    <row r="484" spans="1:24" x14ac:dyDescent="0.3">
      <c r="A484" s="2">
        <v>45342</v>
      </c>
      <c r="B484" s="1" t="s">
        <v>25</v>
      </c>
      <c r="C484" s="1" t="s">
        <v>18</v>
      </c>
      <c r="D484" s="1" t="s">
        <v>32</v>
      </c>
      <c r="E484" s="1" t="s">
        <v>20</v>
      </c>
      <c r="F484" s="1">
        <v>46</v>
      </c>
      <c r="G484" s="1" t="str" cm="1">
        <f t="array" ref="G484">_xlfn.IFS(F484&lt;=25,"YOUTH",F484&lt;=48,"ADULT",TRUE,"SENIOR")</f>
        <v>ADULT</v>
      </c>
      <c r="H484" s="1" t="s">
        <v>29</v>
      </c>
      <c r="I484" s="1" t="s">
        <v>33</v>
      </c>
      <c r="J484" s="1" t="s">
        <v>23</v>
      </c>
      <c r="K484" s="1" t="s">
        <v>39</v>
      </c>
      <c r="L484" s="1">
        <v>21921</v>
      </c>
      <c r="M484" s="3">
        <f t="shared" si="21"/>
        <v>2.1030062497148852E-2</v>
      </c>
      <c r="N484" s="1">
        <v>461</v>
      </c>
      <c r="O484" s="4">
        <f t="shared" si="22"/>
        <v>17.074074074074073</v>
      </c>
      <c r="P484" s="1">
        <v>27</v>
      </c>
      <c r="Q484" s="1">
        <v>1949.5270219983699</v>
      </c>
      <c r="R484" s="1">
        <v>1094.83809383279</v>
      </c>
      <c r="S484" s="5">
        <f t="shared" si="23"/>
        <v>1093.83809383279</v>
      </c>
      <c r="T484" s="1">
        <v>120</v>
      </c>
      <c r="U484" s="1">
        <v>8</v>
      </c>
      <c r="V484" s="1">
        <v>3</v>
      </c>
      <c r="W484" s="1">
        <v>2026</v>
      </c>
      <c r="X484" s="1">
        <v>0.47672525930453602</v>
      </c>
    </row>
    <row r="485" spans="1:24" x14ac:dyDescent="0.3">
      <c r="A485" s="2">
        <v>45300</v>
      </c>
      <c r="B485" s="1" t="s">
        <v>34</v>
      </c>
      <c r="C485" s="1" t="s">
        <v>35</v>
      </c>
      <c r="D485" s="1" t="s">
        <v>36</v>
      </c>
      <c r="E485" s="1" t="s">
        <v>28</v>
      </c>
      <c r="F485" s="1">
        <v>53</v>
      </c>
      <c r="G485" s="1" t="str" cm="1">
        <f t="array" ref="G485">_xlfn.IFS(F485&lt;=25,"YOUTH",F485&lt;=48,"ADULT",TRUE,"SENIOR")</f>
        <v>SENIOR</v>
      </c>
      <c r="H485" s="1" t="s">
        <v>21</v>
      </c>
      <c r="I485" s="1" t="s">
        <v>43</v>
      </c>
      <c r="J485" s="1" t="s">
        <v>23</v>
      </c>
      <c r="K485" s="1" t="s">
        <v>24</v>
      </c>
      <c r="L485" s="1">
        <v>23745</v>
      </c>
      <c r="M485" s="3">
        <f t="shared" si="21"/>
        <v>0.10705411665613813</v>
      </c>
      <c r="N485" s="1">
        <v>2542</v>
      </c>
      <c r="O485" s="4">
        <f t="shared" si="22"/>
        <v>5.125</v>
      </c>
      <c r="P485" s="1">
        <v>496</v>
      </c>
      <c r="Q485" s="1">
        <v>1566.38282889834</v>
      </c>
      <c r="R485" s="1">
        <v>8513.7866893895007</v>
      </c>
      <c r="S485" s="5">
        <f t="shared" si="23"/>
        <v>8512.7866893895007</v>
      </c>
      <c r="T485" s="1">
        <v>188</v>
      </c>
      <c r="U485" s="1">
        <v>18</v>
      </c>
      <c r="V485" s="1">
        <v>5</v>
      </c>
      <c r="W485" s="1">
        <v>3275</v>
      </c>
      <c r="X485" s="1">
        <v>0.55467261393183398</v>
      </c>
    </row>
    <row r="486" spans="1:24" x14ac:dyDescent="0.3">
      <c r="A486" s="2">
        <v>45292</v>
      </c>
      <c r="B486" s="1" t="s">
        <v>40</v>
      </c>
      <c r="C486" s="1" t="s">
        <v>26</v>
      </c>
      <c r="D486" s="1" t="s">
        <v>32</v>
      </c>
      <c r="E486" s="1" t="s">
        <v>28</v>
      </c>
      <c r="F486" s="1">
        <v>42</v>
      </c>
      <c r="G486" s="1" t="str" cm="1">
        <f t="array" ref="G486">_xlfn.IFS(F486&lt;=25,"YOUTH",F486&lt;=48,"ADULT",TRUE,"SENIOR")</f>
        <v>ADULT</v>
      </c>
      <c r="H486" s="1" t="s">
        <v>29</v>
      </c>
      <c r="I486" s="1" t="s">
        <v>43</v>
      </c>
      <c r="J486" s="1" t="s">
        <v>23</v>
      </c>
      <c r="K486" s="1" t="s">
        <v>24</v>
      </c>
      <c r="L486" s="1">
        <v>2245</v>
      </c>
      <c r="M486" s="3">
        <f t="shared" si="21"/>
        <v>0.11982182628062361</v>
      </c>
      <c r="N486" s="1">
        <v>269</v>
      </c>
      <c r="O486" s="4">
        <f t="shared" si="22"/>
        <v>5.0754716981132075</v>
      </c>
      <c r="P486" s="1">
        <v>53</v>
      </c>
      <c r="Q486" s="1">
        <v>277.54971763235</v>
      </c>
      <c r="R486" s="1">
        <v>377.390442744979</v>
      </c>
      <c r="S486" s="5">
        <f t="shared" si="23"/>
        <v>376.390442744979</v>
      </c>
      <c r="T486" s="1">
        <v>58</v>
      </c>
      <c r="U486" s="1">
        <v>6</v>
      </c>
      <c r="V486" s="1">
        <v>4</v>
      </c>
      <c r="W486" s="1">
        <v>202</v>
      </c>
      <c r="X486" s="1">
        <v>0.51223787876330695</v>
      </c>
    </row>
    <row r="487" spans="1:24" x14ac:dyDescent="0.3">
      <c r="A487" s="2">
        <v>45333</v>
      </c>
      <c r="B487" s="1" t="s">
        <v>25</v>
      </c>
      <c r="C487" s="1" t="s">
        <v>35</v>
      </c>
      <c r="D487" s="1" t="s">
        <v>36</v>
      </c>
      <c r="E487" s="1" t="s">
        <v>28</v>
      </c>
      <c r="F487" s="1">
        <v>38</v>
      </c>
      <c r="G487" s="1" t="str" cm="1">
        <f t="array" ref="G487">_xlfn.IFS(F487&lt;=25,"YOUTH",F487&lt;=48,"ADULT",TRUE,"SENIOR")</f>
        <v>ADULT</v>
      </c>
      <c r="H487" s="1" t="s">
        <v>21</v>
      </c>
      <c r="I487" s="1" t="s">
        <v>33</v>
      </c>
      <c r="J487" s="1" t="s">
        <v>38</v>
      </c>
      <c r="K487" s="1" t="s">
        <v>31</v>
      </c>
      <c r="L487" s="1">
        <v>47607</v>
      </c>
      <c r="M487" s="3">
        <f t="shared" si="21"/>
        <v>0.12569580103766254</v>
      </c>
      <c r="N487" s="1">
        <v>5984</v>
      </c>
      <c r="O487" s="4">
        <f t="shared" si="22"/>
        <v>4.5196374622356492</v>
      </c>
      <c r="P487" s="1">
        <v>1324</v>
      </c>
      <c r="Q487" s="1">
        <v>3692.9000156563002</v>
      </c>
      <c r="R487" s="1">
        <v>88018.230586231701</v>
      </c>
      <c r="S487" s="5">
        <f t="shared" si="23"/>
        <v>88017.230586231701</v>
      </c>
      <c r="T487" s="1">
        <v>1243</v>
      </c>
      <c r="U487" s="1">
        <v>84</v>
      </c>
      <c r="V487" s="1">
        <v>32</v>
      </c>
      <c r="W487" s="1">
        <v>8367</v>
      </c>
      <c r="X487" s="1">
        <v>0.92021944556881996</v>
      </c>
    </row>
    <row r="488" spans="1:24" x14ac:dyDescent="0.3">
      <c r="A488" s="2">
        <v>45310</v>
      </c>
      <c r="B488" s="1" t="s">
        <v>34</v>
      </c>
      <c r="C488" s="1" t="s">
        <v>18</v>
      </c>
      <c r="D488" s="1" t="s">
        <v>32</v>
      </c>
      <c r="E488" s="1" t="s">
        <v>28</v>
      </c>
      <c r="F488" s="1">
        <v>53</v>
      </c>
      <c r="G488" s="1" t="str" cm="1">
        <f t="array" ref="G488">_xlfn.IFS(F488&lt;=25,"YOUTH",F488&lt;=48,"ADULT",TRUE,"SENIOR")</f>
        <v>SENIOR</v>
      </c>
      <c r="H488" s="1" t="s">
        <v>29</v>
      </c>
      <c r="I488" s="1" t="s">
        <v>37</v>
      </c>
      <c r="J488" s="1" t="s">
        <v>23</v>
      </c>
      <c r="K488" s="1" t="s">
        <v>31</v>
      </c>
      <c r="L488" s="1">
        <v>25853</v>
      </c>
      <c r="M488" s="3">
        <f t="shared" si="21"/>
        <v>0.13789502185433025</v>
      </c>
      <c r="N488" s="1">
        <v>3565</v>
      </c>
      <c r="O488" s="4">
        <f t="shared" si="22"/>
        <v>38.333333333333336</v>
      </c>
      <c r="P488" s="1">
        <v>93</v>
      </c>
      <c r="Q488" s="1">
        <v>1587.4007078125301</v>
      </c>
      <c r="R488" s="1">
        <v>6061.1021229999997</v>
      </c>
      <c r="S488" s="5">
        <f t="shared" si="23"/>
        <v>6060.1021229999997</v>
      </c>
      <c r="T488" s="1">
        <v>342</v>
      </c>
      <c r="U488" s="1">
        <v>23</v>
      </c>
      <c r="V488" s="1">
        <v>31</v>
      </c>
      <c r="W488" s="1">
        <v>1892</v>
      </c>
      <c r="X488" s="1">
        <v>0.44629374010811201</v>
      </c>
    </row>
    <row r="489" spans="1:24" x14ac:dyDescent="0.3">
      <c r="A489" s="2">
        <v>45324</v>
      </c>
      <c r="B489" s="1" t="s">
        <v>34</v>
      </c>
      <c r="C489" s="1" t="s">
        <v>26</v>
      </c>
      <c r="D489" s="1" t="s">
        <v>19</v>
      </c>
      <c r="E489" s="1" t="s">
        <v>28</v>
      </c>
      <c r="F489" s="1">
        <v>27</v>
      </c>
      <c r="G489" s="1" t="str" cm="1">
        <f t="array" ref="G489">_xlfn.IFS(F489&lt;=25,"YOUTH",F489&lt;=48,"ADULT",TRUE,"SENIOR")</f>
        <v>ADULT</v>
      </c>
      <c r="H489" s="1" t="s">
        <v>42</v>
      </c>
      <c r="I489" s="1" t="s">
        <v>37</v>
      </c>
      <c r="J489" s="1" t="s">
        <v>23</v>
      </c>
      <c r="K489" s="1" t="s">
        <v>31</v>
      </c>
      <c r="L489" s="1">
        <v>28632</v>
      </c>
      <c r="M489" s="3">
        <f t="shared" si="21"/>
        <v>0.13317267393126572</v>
      </c>
      <c r="N489" s="1">
        <v>3813</v>
      </c>
      <c r="O489" s="4">
        <f t="shared" si="22"/>
        <v>6.7012302284710019</v>
      </c>
      <c r="P489" s="1">
        <v>569</v>
      </c>
      <c r="Q489" s="1">
        <v>3264.6157616431701</v>
      </c>
      <c r="R489" s="1">
        <v>8860.7527813920406</v>
      </c>
      <c r="S489" s="5">
        <f t="shared" si="23"/>
        <v>8859.7527813920406</v>
      </c>
      <c r="T489" s="1">
        <v>206</v>
      </c>
      <c r="U489" s="1">
        <v>32</v>
      </c>
      <c r="V489" s="1">
        <v>16</v>
      </c>
      <c r="W489" s="1">
        <v>1008</v>
      </c>
      <c r="X489" s="1">
        <v>0.51641895485247602</v>
      </c>
    </row>
    <row r="490" spans="1:24" x14ac:dyDescent="0.3">
      <c r="A490" s="2">
        <v>45325</v>
      </c>
      <c r="B490" s="1" t="s">
        <v>34</v>
      </c>
      <c r="C490" s="1" t="s">
        <v>35</v>
      </c>
      <c r="D490" s="1" t="s">
        <v>19</v>
      </c>
      <c r="E490" s="1" t="s">
        <v>20</v>
      </c>
      <c r="F490" s="1">
        <v>54</v>
      </c>
      <c r="G490" s="1" t="str" cm="1">
        <f t="array" ref="G490">_xlfn.IFS(F490&lt;=25,"YOUTH",F490&lt;=48,"ADULT",TRUE,"SENIOR")</f>
        <v>SENIOR</v>
      </c>
      <c r="H490" s="1" t="s">
        <v>29</v>
      </c>
      <c r="I490" s="1" t="s">
        <v>43</v>
      </c>
      <c r="J490" s="1" t="s">
        <v>23</v>
      </c>
      <c r="K490" s="1" t="s">
        <v>39</v>
      </c>
      <c r="L490" s="1">
        <v>13856</v>
      </c>
      <c r="M490" s="3">
        <f t="shared" si="21"/>
        <v>0.14989896073903003</v>
      </c>
      <c r="N490" s="1">
        <v>2077</v>
      </c>
      <c r="O490" s="4">
        <f t="shared" si="22"/>
        <v>14.524475524475525</v>
      </c>
      <c r="P490" s="1">
        <v>143</v>
      </c>
      <c r="Q490" s="1">
        <v>1721.03627316954</v>
      </c>
      <c r="R490" s="1">
        <v>4504.9455952117396</v>
      </c>
      <c r="S490" s="5">
        <f t="shared" si="23"/>
        <v>4503.9455952117396</v>
      </c>
      <c r="T490" s="1">
        <v>313</v>
      </c>
      <c r="U490" s="1">
        <v>42</v>
      </c>
      <c r="V490" s="1">
        <v>14</v>
      </c>
      <c r="W490" s="1">
        <v>2275</v>
      </c>
      <c r="X490" s="1">
        <v>0.444397818</v>
      </c>
    </row>
    <row r="491" spans="1:24" x14ac:dyDescent="0.3">
      <c r="A491" s="2">
        <v>45307</v>
      </c>
      <c r="B491" s="1" t="s">
        <v>34</v>
      </c>
      <c r="C491" s="1" t="s">
        <v>41</v>
      </c>
      <c r="D491" s="1" t="s">
        <v>32</v>
      </c>
      <c r="E491" s="1" t="s">
        <v>28</v>
      </c>
      <c r="F491" s="1">
        <v>26</v>
      </c>
      <c r="G491" s="1" t="str" cm="1">
        <f t="array" ref="G491">_xlfn.IFS(F491&lt;=25,"YOUTH",F491&lt;=48,"ADULT",TRUE,"SENIOR")</f>
        <v>ADULT</v>
      </c>
      <c r="H491" s="1" t="s">
        <v>21</v>
      </c>
      <c r="I491" s="1" t="s">
        <v>37</v>
      </c>
      <c r="J491" s="1" t="s">
        <v>23</v>
      </c>
      <c r="K491" s="1" t="s">
        <v>24</v>
      </c>
      <c r="L491" s="1">
        <v>6105</v>
      </c>
      <c r="M491" s="3">
        <f t="shared" si="21"/>
        <v>4.4062244062244064E-2</v>
      </c>
      <c r="N491" s="1">
        <v>269</v>
      </c>
      <c r="O491" s="4">
        <f t="shared" si="22"/>
        <v>10.346153846153847</v>
      </c>
      <c r="P491" s="1">
        <v>26</v>
      </c>
      <c r="Q491" s="1">
        <v>750.44553640000004</v>
      </c>
      <c r="R491" s="1">
        <v>1534.45136943083</v>
      </c>
      <c r="S491" s="5">
        <f t="shared" si="23"/>
        <v>1533.45136943083</v>
      </c>
      <c r="T491" s="1">
        <v>85</v>
      </c>
      <c r="U491" s="1">
        <v>11</v>
      </c>
      <c r="V491" s="1">
        <v>4</v>
      </c>
      <c r="W491" s="1">
        <v>842</v>
      </c>
      <c r="X491" s="1">
        <v>0.93921194200000002</v>
      </c>
    </row>
    <row r="492" spans="1:24" x14ac:dyDescent="0.3">
      <c r="A492" s="2">
        <v>45335</v>
      </c>
      <c r="B492" s="1" t="s">
        <v>25</v>
      </c>
      <c r="C492" s="1" t="s">
        <v>18</v>
      </c>
      <c r="D492" s="1" t="s">
        <v>27</v>
      </c>
      <c r="E492" s="1" t="s">
        <v>20</v>
      </c>
      <c r="F492" s="1">
        <v>41</v>
      </c>
      <c r="G492" s="1" t="str" cm="1">
        <f t="array" ref="G492">_xlfn.IFS(F492&lt;=25,"YOUTH",F492&lt;=48,"ADULT",TRUE,"SENIOR")</f>
        <v>ADULT</v>
      </c>
      <c r="H492" s="1" t="s">
        <v>21</v>
      </c>
      <c r="I492" s="1" t="s">
        <v>37</v>
      </c>
      <c r="J492" s="1" t="s">
        <v>23</v>
      </c>
      <c r="K492" s="1" t="s">
        <v>31</v>
      </c>
      <c r="L492" s="1">
        <v>36690</v>
      </c>
      <c r="M492" s="3">
        <f t="shared" si="21"/>
        <v>0.11684382665576451</v>
      </c>
      <c r="N492" s="1">
        <v>4287</v>
      </c>
      <c r="O492" s="4">
        <f t="shared" si="22"/>
        <v>4.9906868451688009</v>
      </c>
      <c r="P492" s="1">
        <v>859</v>
      </c>
      <c r="Q492" s="1">
        <v>5397.01365306969</v>
      </c>
      <c r="R492" s="1">
        <v>41201.951684662301</v>
      </c>
      <c r="S492" s="5">
        <f t="shared" si="23"/>
        <v>41200.951684662301</v>
      </c>
      <c r="T492" s="1">
        <v>225</v>
      </c>
      <c r="U492" s="1">
        <v>26</v>
      </c>
      <c r="V492" s="1">
        <v>13</v>
      </c>
      <c r="W492" s="1">
        <v>2052</v>
      </c>
      <c r="X492" s="1">
        <v>0.90512743000335205</v>
      </c>
    </row>
    <row r="493" spans="1:24" x14ac:dyDescent="0.3">
      <c r="A493" s="2">
        <v>45331</v>
      </c>
      <c r="B493" s="1" t="s">
        <v>40</v>
      </c>
      <c r="C493" s="1" t="s">
        <v>26</v>
      </c>
      <c r="D493" s="1" t="s">
        <v>19</v>
      </c>
      <c r="E493" s="1" t="s">
        <v>28</v>
      </c>
      <c r="F493" s="1">
        <v>52</v>
      </c>
      <c r="G493" s="1" t="str" cm="1">
        <f t="array" ref="G493">_xlfn.IFS(F493&lt;=25,"YOUTH",F493&lt;=48,"ADULT",TRUE,"SENIOR")</f>
        <v>SENIOR</v>
      </c>
      <c r="H493" s="1" t="s">
        <v>29</v>
      </c>
      <c r="I493" s="1" t="s">
        <v>43</v>
      </c>
      <c r="J493" s="1" t="s">
        <v>38</v>
      </c>
      <c r="K493" s="1" t="s">
        <v>39</v>
      </c>
      <c r="L493" s="1">
        <v>3513</v>
      </c>
      <c r="M493" s="3">
        <f t="shared" si="21"/>
        <v>9.1944207230287497E-2</v>
      </c>
      <c r="N493" s="1">
        <v>323</v>
      </c>
      <c r="O493" s="4">
        <f t="shared" si="22"/>
        <v>16.149999999999999</v>
      </c>
      <c r="P493" s="1">
        <v>20</v>
      </c>
      <c r="Q493" s="1">
        <v>429.52292888170598</v>
      </c>
      <c r="R493" s="1">
        <v>613.22376192192803</v>
      </c>
      <c r="S493" s="5">
        <f t="shared" si="23"/>
        <v>612.22376192192803</v>
      </c>
      <c r="T493" s="1">
        <v>31</v>
      </c>
      <c r="U493" s="1">
        <v>6</v>
      </c>
      <c r="V493" s="1">
        <v>1</v>
      </c>
      <c r="W493" s="1">
        <v>393</v>
      </c>
      <c r="X493" s="1">
        <v>0.79414737437097505</v>
      </c>
    </row>
    <row r="494" spans="1:24" x14ac:dyDescent="0.3">
      <c r="A494" s="2">
        <v>45346</v>
      </c>
      <c r="B494" s="1" t="s">
        <v>34</v>
      </c>
      <c r="C494" s="1" t="s">
        <v>35</v>
      </c>
      <c r="D494" s="1" t="s">
        <v>36</v>
      </c>
      <c r="E494" s="1" t="s">
        <v>20</v>
      </c>
      <c r="F494" s="1">
        <v>52</v>
      </c>
      <c r="G494" s="1" t="str" cm="1">
        <f t="array" ref="G494">_xlfn.IFS(F494&lt;=25,"YOUTH",F494&lt;=48,"ADULT",TRUE,"SENIOR")</f>
        <v>SENIOR</v>
      </c>
      <c r="H494" s="1" t="s">
        <v>42</v>
      </c>
      <c r="I494" s="1" t="s">
        <v>37</v>
      </c>
      <c r="J494" s="1" t="s">
        <v>23</v>
      </c>
      <c r="K494" s="1" t="s">
        <v>39</v>
      </c>
      <c r="L494" s="1">
        <v>3801</v>
      </c>
      <c r="M494" s="3">
        <f t="shared" si="21"/>
        <v>4.6566692975532752E-2</v>
      </c>
      <c r="N494" s="1">
        <v>177</v>
      </c>
      <c r="O494" s="4">
        <f t="shared" si="22"/>
        <v>6.1034482758620694</v>
      </c>
      <c r="P494" s="1">
        <v>29</v>
      </c>
      <c r="Q494" s="1">
        <v>456.46720870532403</v>
      </c>
      <c r="R494" s="1">
        <v>1547.7623296896099</v>
      </c>
      <c r="S494" s="5">
        <f t="shared" si="23"/>
        <v>1546.7623296896099</v>
      </c>
      <c r="T494" s="1">
        <v>32</v>
      </c>
      <c r="U494" s="1">
        <v>1</v>
      </c>
      <c r="V494" s="1">
        <v>2</v>
      </c>
      <c r="W494" s="1">
        <v>328</v>
      </c>
      <c r="X494" s="1">
        <v>0.634285167720952</v>
      </c>
    </row>
    <row r="495" spans="1:24" x14ac:dyDescent="0.3">
      <c r="A495" s="2">
        <v>45309</v>
      </c>
      <c r="B495" s="1" t="s">
        <v>25</v>
      </c>
      <c r="C495" s="1" t="s">
        <v>41</v>
      </c>
      <c r="D495" s="1" t="s">
        <v>32</v>
      </c>
      <c r="E495" s="1" t="s">
        <v>28</v>
      </c>
      <c r="F495" s="1">
        <v>53</v>
      </c>
      <c r="G495" s="1" t="str" cm="1">
        <f t="array" ref="G495">_xlfn.IFS(F495&lt;=25,"YOUTH",F495&lt;=48,"ADULT",TRUE,"SENIOR")</f>
        <v>SENIOR</v>
      </c>
      <c r="H495" s="1" t="s">
        <v>21</v>
      </c>
      <c r="I495" s="1" t="s">
        <v>43</v>
      </c>
      <c r="J495" s="1" t="s">
        <v>38</v>
      </c>
      <c r="K495" s="1" t="s">
        <v>39</v>
      </c>
      <c r="L495" s="1">
        <v>33345</v>
      </c>
      <c r="M495" s="3">
        <f t="shared" si="21"/>
        <v>0.14745838956365273</v>
      </c>
      <c r="N495" s="1">
        <v>4917</v>
      </c>
      <c r="O495" s="4">
        <f t="shared" si="22"/>
        <v>5.8675417661097855</v>
      </c>
      <c r="P495" s="1">
        <v>838</v>
      </c>
      <c r="Q495" s="1">
        <v>4383.9699521584498</v>
      </c>
      <c r="R495" s="1">
        <v>53052.171235809001</v>
      </c>
      <c r="S495" s="5">
        <f t="shared" si="23"/>
        <v>53051.171235809001</v>
      </c>
      <c r="T495" s="1">
        <v>657</v>
      </c>
      <c r="U495" s="1">
        <v>50</v>
      </c>
      <c r="V495" s="1">
        <v>64</v>
      </c>
      <c r="W495" s="1">
        <v>6281</v>
      </c>
      <c r="X495" s="1">
        <v>0.50459797453819499</v>
      </c>
    </row>
    <row r="496" spans="1:24" x14ac:dyDescent="0.3">
      <c r="A496" s="2">
        <v>45325</v>
      </c>
      <c r="B496" s="1" t="s">
        <v>40</v>
      </c>
      <c r="C496" s="1" t="s">
        <v>18</v>
      </c>
      <c r="D496" s="1" t="s">
        <v>36</v>
      </c>
      <c r="E496" s="1" t="s">
        <v>20</v>
      </c>
      <c r="F496" s="1">
        <v>35</v>
      </c>
      <c r="G496" s="1" t="str" cm="1">
        <f t="array" ref="G496">_xlfn.IFS(F496&lt;=25,"YOUTH",F496&lt;=48,"ADULT",TRUE,"SENIOR")</f>
        <v>ADULT</v>
      </c>
      <c r="H496" s="1" t="s">
        <v>21</v>
      </c>
      <c r="I496" s="1" t="s">
        <v>22</v>
      </c>
      <c r="J496" s="1" t="s">
        <v>30</v>
      </c>
      <c r="K496" s="1" t="s">
        <v>31</v>
      </c>
      <c r="L496" s="1">
        <v>14895</v>
      </c>
      <c r="M496" s="3">
        <f t="shared" si="21"/>
        <v>0.1356831151393085</v>
      </c>
      <c r="N496" s="1">
        <v>2021</v>
      </c>
      <c r="O496" s="4">
        <f t="shared" si="22"/>
        <v>4.1842650103519672</v>
      </c>
      <c r="P496" s="1">
        <v>483</v>
      </c>
      <c r="Q496" s="1">
        <v>298.25860291033001</v>
      </c>
      <c r="R496" s="1">
        <v>31491.740786859598</v>
      </c>
      <c r="S496" s="5">
        <f t="shared" si="23"/>
        <v>31490.740786859598</v>
      </c>
      <c r="T496" s="1">
        <v>408</v>
      </c>
      <c r="U496" s="1">
        <v>60</v>
      </c>
      <c r="V496" s="1">
        <v>27</v>
      </c>
      <c r="W496" s="1">
        <v>1867</v>
      </c>
      <c r="X496" s="1">
        <v>0.52181934876107805</v>
      </c>
    </row>
    <row r="497" spans="1:24" x14ac:dyDescent="0.3">
      <c r="A497" s="2">
        <v>45316</v>
      </c>
      <c r="B497" s="1" t="s">
        <v>34</v>
      </c>
      <c r="C497" s="1" t="s">
        <v>41</v>
      </c>
      <c r="D497" s="1" t="s">
        <v>27</v>
      </c>
      <c r="E497" s="1" t="s">
        <v>28</v>
      </c>
      <c r="F497" s="1">
        <v>56</v>
      </c>
      <c r="G497" s="1" t="str" cm="1">
        <f t="array" ref="G497">_xlfn.IFS(F497&lt;=25,"YOUTH",F497&lt;=48,"ADULT",TRUE,"SENIOR")</f>
        <v>SENIOR</v>
      </c>
      <c r="H497" s="1" t="s">
        <v>21</v>
      </c>
      <c r="I497" s="1" t="s">
        <v>33</v>
      </c>
      <c r="J497" s="1" t="s">
        <v>23</v>
      </c>
      <c r="K497" s="1" t="s">
        <v>31</v>
      </c>
      <c r="L497" s="1">
        <v>40749</v>
      </c>
      <c r="M497" s="3">
        <f t="shared" si="21"/>
        <v>2.7976146653905618E-2</v>
      </c>
      <c r="N497" s="1">
        <v>1140</v>
      </c>
      <c r="O497" s="4">
        <f t="shared" si="22"/>
        <v>5.0442477876106198</v>
      </c>
      <c r="P497" s="1">
        <v>226</v>
      </c>
      <c r="Q497" s="1">
        <v>2734.9132846837601</v>
      </c>
      <c r="R497" s="1">
        <v>6695.3007991369504</v>
      </c>
      <c r="S497" s="5">
        <f t="shared" si="23"/>
        <v>6694.3007991369504</v>
      </c>
      <c r="T497" s="1">
        <v>1011</v>
      </c>
      <c r="U497" s="1">
        <v>71</v>
      </c>
      <c r="V497" s="1">
        <v>56</v>
      </c>
      <c r="W497" s="1">
        <v>1633</v>
      </c>
      <c r="X497" s="1">
        <v>0.64367200470580599</v>
      </c>
    </row>
    <row r="498" spans="1:24" x14ac:dyDescent="0.3">
      <c r="A498" s="2">
        <v>45336</v>
      </c>
      <c r="B498" s="1" t="s">
        <v>40</v>
      </c>
      <c r="C498" s="1" t="s">
        <v>35</v>
      </c>
      <c r="D498" s="1" t="s">
        <v>32</v>
      </c>
      <c r="E498" s="1" t="s">
        <v>28</v>
      </c>
      <c r="F498" s="1">
        <v>49</v>
      </c>
      <c r="G498" s="1" t="str" cm="1">
        <f t="array" ref="G498">_xlfn.IFS(F498&lt;=25,"YOUTH",F498&lt;=48,"ADULT",TRUE,"SENIOR")</f>
        <v>SENIOR</v>
      </c>
      <c r="H498" s="1" t="s">
        <v>42</v>
      </c>
      <c r="I498" s="1" t="s">
        <v>33</v>
      </c>
      <c r="J498" s="1" t="s">
        <v>38</v>
      </c>
      <c r="K498" s="1" t="s">
        <v>31</v>
      </c>
      <c r="L498" s="1">
        <v>9221</v>
      </c>
      <c r="M498" s="3">
        <f t="shared" si="21"/>
        <v>1.3556013447565339E-2</v>
      </c>
      <c r="N498" s="1">
        <v>125</v>
      </c>
      <c r="O498" s="4">
        <f t="shared" si="22"/>
        <v>5</v>
      </c>
      <c r="P498" s="1">
        <v>25</v>
      </c>
      <c r="Q498" s="1">
        <v>1068.60695930934</v>
      </c>
      <c r="R498" s="1">
        <v>407.03610511833</v>
      </c>
      <c r="S498" s="5">
        <f t="shared" si="23"/>
        <v>406.03610511833</v>
      </c>
      <c r="T498" s="1">
        <v>172</v>
      </c>
      <c r="U498" s="1">
        <v>23</v>
      </c>
      <c r="V498" s="1">
        <v>6</v>
      </c>
      <c r="W498" s="1">
        <v>971</v>
      </c>
      <c r="X498" s="1">
        <v>0.822522469235064</v>
      </c>
    </row>
    <row r="499" spans="1:24" x14ac:dyDescent="0.3">
      <c r="A499" s="2">
        <v>45297</v>
      </c>
      <c r="B499" s="1" t="s">
        <v>40</v>
      </c>
      <c r="C499" s="1" t="s">
        <v>35</v>
      </c>
      <c r="D499" s="1" t="s">
        <v>19</v>
      </c>
      <c r="E499" s="1" t="s">
        <v>28</v>
      </c>
      <c r="F499" s="1">
        <v>41</v>
      </c>
      <c r="G499" s="1" t="str" cm="1">
        <f t="array" ref="G499">_xlfn.IFS(F499&lt;=25,"YOUTH",F499&lt;=48,"ADULT",TRUE,"SENIOR")</f>
        <v>ADULT</v>
      </c>
      <c r="H499" s="1" t="s">
        <v>42</v>
      </c>
      <c r="I499" s="1" t="s">
        <v>37</v>
      </c>
      <c r="J499" s="1" t="s">
        <v>38</v>
      </c>
      <c r="K499" s="1" t="s">
        <v>31</v>
      </c>
      <c r="L499" s="1">
        <v>7038</v>
      </c>
      <c r="M499" s="3">
        <f t="shared" si="21"/>
        <v>0.10628019323671498</v>
      </c>
      <c r="N499" s="1">
        <v>748</v>
      </c>
      <c r="O499" s="4">
        <f t="shared" si="22"/>
        <v>7.0566037735849054</v>
      </c>
      <c r="P499" s="1">
        <v>106</v>
      </c>
      <c r="Q499" s="1">
        <v>689.46691202523698</v>
      </c>
      <c r="R499" s="1">
        <v>6819.4597329564804</v>
      </c>
      <c r="S499" s="5">
        <f t="shared" si="23"/>
        <v>6818.4597329564804</v>
      </c>
      <c r="T499" s="1">
        <v>109</v>
      </c>
      <c r="U499" s="1">
        <v>14</v>
      </c>
      <c r="V499" s="1">
        <v>7</v>
      </c>
      <c r="W499" s="1">
        <v>1223</v>
      </c>
      <c r="X499" s="1">
        <v>0.54560122279942702</v>
      </c>
    </row>
    <row r="500" spans="1:24" x14ac:dyDescent="0.3">
      <c r="A500" s="2">
        <v>45312</v>
      </c>
      <c r="B500" s="1" t="s">
        <v>25</v>
      </c>
      <c r="C500" s="1" t="s">
        <v>26</v>
      </c>
      <c r="D500" s="1" t="s">
        <v>36</v>
      </c>
      <c r="E500" s="1" t="s">
        <v>28</v>
      </c>
      <c r="F500" s="1">
        <v>40</v>
      </c>
      <c r="G500" s="1" t="str" cm="1">
        <f t="array" ref="G500">_xlfn.IFS(F500&lt;=25,"YOUTH",F500&lt;=48,"ADULT",TRUE,"SENIOR")</f>
        <v>ADULT</v>
      </c>
      <c r="H500" s="1" t="s">
        <v>21</v>
      </c>
      <c r="I500" s="1" t="s">
        <v>37</v>
      </c>
      <c r="J500" s="1" t="s">
        <v>23</v>
      </c>
      <c r="K500" s="1" t="s">
        <v>31</v>
      </c>
      <c r="L500" s="1">
        <v>33031</v>
      </c>
      <c r="M500" s="3">
        <f t="shared" si="21"/>
        <v>9.4577820834973209E-2</v>
      </c>
      <c r="N500" s="1">
        <v>3124</v>
      </c>
      <c r="O500" s="4">
        <f t="shared" si="22"/>
        <v>15.938775510204081</v>
      </c>
      <c r="P500" s="1">
        <v>196</v>
      </c>
      <c r="Q500" s="1">
        <v>1423.11950646024</v>
      </c>
      <c r="R500" s="1">
        <v>2159.1563799999999</v>
      </c>
      <c r="S500" s="5">
        <f t="shared" si="23"/>
        <v>2158.1563799999999</v>
      </c>
      <c r="T500" s="1">
        <v>676</v>
      </c>
      <c r="U500" s="1">
        <v>132</v>
      </c>
      <c r="V500" s="1">
        <v>50</v>
      </c>
      <c r="W500" s="1">
        <v>4544</v>
      </c>
      <c r="X500" s="1">
        <v>0.57093555189405498</v>
      </c>
    </row>
    <row r="501" spans="1:24" x14ac:dyDescent="0.3">
      <c r="A501" s="2">
        <v>45349</v>
      </c>
      <c r="B501" s="1" t="s">
        <v>40</v>
      </c>
      <c r="C501" s="1" t="s">
        <v>41</v>
      </c>
      <c r="D501" s="1" t="s">
        <v>19</v>
      </c>
      <c r="E501" s="1" t="s">
        <v>20</v>
      </c>
      <c r="F501" s="1">
        <v>49</v>
      </c>
      <c r="G501" s="1" t="str" cm="1">
        <f t="array" ref="G501">_xlfn.IFS(F501&lt;=25,"YOUTH",F501&lt;=48,"ADULT",TRUE,"SENIOR")</f>
        <v>SENIOR</v>
      </c>
      <c r="H501" s="1" t="s">
        <v>21</v>
      </c>
      <c r="I501" s="1" t="s">
        <v>37</v>
      </c>
      <c r="J501" s="1" t="s">
        <v>23</v>
      </c>
      <c r="K501" s="1" t="s">
        <v>39</v>
      </c>
      <c r="L501" s="1">
        <v>16082</v>
      </c>
      <c r="M501" s="3">
        <f t="shared" si="21"/>
        <v>0.14096505409774904</v>
      </c>
      <c r="N501" s="1">
        <v>2267</v>
      </c>
      <c r="O501" s="4">
        <f t="shared" si="22"/>
        <v>8.4906367041198507</v>
      </c>
      <c r="P501" s="1">
        <v>267</v>
      </c>
      <c r="Q501" s="1">
        <v>956.64262003385795</v>
      </c>
      <c r="R501" s="1">
        <v>13859.9020297647</v>
      </c>
      <c r="S501" s="5">
        <f t="shared" si="23"/>
        <v>13858.9020297647</v>
      </c>
      <c r="T501" s="1">
        <v>258</v>
      </c>
      <c r="U501" s="1">
        <v>47</v>
      </c>
      <c r="V501" s="1">
        <v>19</v>
      </c>
      <c r="W501" s="1">
        <v>2734</v>
      </c>
      <c r="X501" s="1">
        <v>0.72996936027245796</v>
      </c>
    </row>
    <row r="502" spans="1:24" x14ac:dyDescent="0.3">
      <c r="A502" s="2">
        <v>45297</v>
      </c>
      <c r="B502" s="1" t="s">
        <v>25</v>
      </c>
      <c r="C502" s="1" t="s">
        <v>26</v>
      </c>
      <c r="D502" s="1" t="s">
        <v>19</v>
      </c>
      <c r="E502" s="1" t="s">
        <v>28</v>
      </c>
      <c r="F502" s="1">
        <v>54</v>
      </c>
      <c r="G502" s="1" t="str" cm="1">
        <f t="array" ref="G502">_xlfn.IFS(F502&lt;=25,"YOUTH",F502&lt;=48,"ADULT",TRUE,"SENIOR")</f>
        <v>SENIOR</v>
      </c>
      <c r="H502" s="1" t="s">
        <v>29</v>
      </c>
      <c r="I502" s="1" t="s">
        <v>33</v>
      </c>
      <c r="J502" s="1" t="s">
        <v>23</v>
      </c>
      <c r="K502" s="1" t="s">
        <v>31</v>
      </c>
      <c r="L502" s="1">
        <v>15648</v>
      </c>
      <c r="M502" s="3">
        <f t="shared" si="21"/>
        <v>4.275306748466258E-2</v>
      </c>
      <c r="N502" s="1">
        <v>669</v>
      </c>
      <c r="O502" s="4">
        <f t="shared" si="22"/>
        <v>6.8969072164948457</v>
      </c>
      <c r="P502" s="1">
        <v>97</v>
      </c>
      <c r="Q502" s="1">
        <v>998.07700120000004</v>
      </c>
      <c r="R502" s="1">
        <v>1370.8355701973501</v>
      </c>
      <c r="S502" s="5">
        <f t="shared" si="23"/>
        <v>1369.8355701973501</v>
      </c>
      <c r="T502" s="1">
        <v>174</v>
      </c>
      <c r="U502" s="1">
        <v>33</v>
      </c>
      <c r="V502" s="1">
        <v>3</v>
      </c>
      <c r="W502" s="1">
        <v>900</v>
      </c>
      <c r="X502" s="1">
        <v>0.53075114925303901</v>
      </c>
    </row>
    <row r="503" spans="1:24" x14ac:dyDescent="0.3">
      <c r="A503" s="2">
        <v>45323</v>
      </c>
      <c r="B503" s="1" t="s">
        <v>34</v>
      </c>
      <c r="C503" s="1" t="s">
        <v>18</v>
      </c>
      <c r="D503" s="1" t="s">
        <v>32</v>
      </c>
      <c r="E503" s="1" t="s">
        <v>20</v>
      </c>
      <c r="F503" s="1">
        <v>29</v>
      </c>
      <c r="G503" s="1" t="str" cm="1">
        <f t="array" ref="G503">_xlfn.IFS(F503&lt;=25,"YOUTH",F503&lt;=48,"ADULT",TRUE,"SENIOR")</f>
        <v>ADULT</v>
      </c>
      <c r="H503" s="1" t="s">
        <v>29</v>
      </c>
      <c r="I503" s="1" t="s">
        <v>22</v>
      </c>
      <c r="J503" s="1" t="s">
        <v>23</v>
      </c>
      <c r="K503" s="1" t="s">
        <v>24</v>
      </c>
      <c r="L503" s="1">
        <v>1364</v>
      </c>
      <c r="M503" s="3">
        <f t="shared" si="21"/>
        <v>2.1260997067448679E-2</v>
      </c>
      <c r="N503" s="1">
        <v>29</v>
      </c>
      <c r="O503" s="4">
        <f t="shared" si="22"/>
        <v>5.8</v>
      </c>
      <c r="P503" s="1">
        <v>5</v>
      </c>
      <c r="Q503" s="1">
        <v>127.967280673075</v>
      </c>
      <c r="R503" s="1">
        <v>151.55072776699899</v>
      </c>
      <c r="S503" s="5">
        <f t="shared" si="23"/>
        <v>150.55072776699899</v>
      </c>
      <c r="T503" s="1">
        <v>29</v>
      </c>
      <c r="U503" s="1">
        <v>1</v>
      </c>
      <c r="V503" s="1">
        <v>2</v>
      </c>
      <c r="W503" s="1">
        <v>243</v>
      </c>
      <c r="X503" s="1">
        <v>0.72132024171104103</v>
      </c>
    </row>
    <row r="504" spans="1:24" x14ac:dyDescent="0.3">
      <c r="A504" s="2">
        <v>45332</v>
      </c>
      <c r="B504" s="1" t="s">
        <v>40</v>
      </c>
      <c r="C504" s="1" t="s">
        <v>26</v>
      </c>
      <c r="D504" s="1" t="s">
        <v>36</v>
      </c>
      <c r="E504" s="1" t="s">
        <v>28</v>
      </c>
      <c r="F504" s="1">
        <v>30</v>
      </c>
      <c r="G504" s="1" t="str" cm="1">
        <f t="array" ref="G504">_xlfn.IFS(F504&lt;=25,"YOUTH",F504&lt;=48,"ADULT",TRUE,"SENIOR")</f>
        <v>ADULT</v>
      </c>
      <c r="H504" s="1" t="s">
        <v>21</v>
      </c>
      <c r="I504" s="1" t="s">
        <v>22</v>
      </c>
      <c r="J504" s="1" t="s">
        <v>38</v>
      </c>
      <c r="K504" s="1" t="s">
        <v>39</v>
      </c>
      <c r="L504" s="1">
        <v>35568</v>
      </c>
      <c r="M504" s="3">
        <f t="shared" si="21"/>
        <v>4.6277552856500224E-2</v>
      </c>
      <c r="N504" s="1">
        <v>1646</v>
      </c>
      <c r="O504" s="4">
        <f t="shared" si="22"/>
        <v>6.2824427480916034</v>
      </c>
      <c r="P504" s="1">
        <v>262</v>
      </c>
      <c r="Q504" s="1">
        <v>4556.5374670161</v>
      </c>
      <c r="R504" s="1">
        <v>8318.7943636618093</v>
      </c>
      <c r="S504" s="5">
        <f t="shared" si="23"/>
        <v>8317.7943636618093</v>
      </c>
      <c r="T504" s="1">
        <v>954</v>
      </c>
      <c r="U504" s="1">
        <v>171</v>
      </c>
      <c r="V504" s="1">
        <v>44</v>
      </c>
      <c r="W504" s="1">
        <v>5462</v>
      </c>
      <c r="X504" s="1">
        <v>0.612921991299756</v>
      </c>
    </row>
    <row r="505" spans="1:24" x14ac:dyDescent="0.3">
      <c r="A505" s="2">
        <v>45339</v>
      </c>
      <c r="B505" s="1" t="s">
        <v>40</v>
      </c>
      <c r="C505" s="1" t="s">
        <v>18</v>
      </c>
      <c r="D505" s="1" t="s">
        <v>27</v>
      </c>
      <c r="E505" s="1" t="s">
        <v>20</v>
      </c>
      <c r="F505" s="1">
        <v>40</v>
      </c>
      <c r="G505" s="1" t="str" cm="1">
        <f t="array" ref="G505">_xlfn.IFS(F505&lt;=25,"YOUTH",F505&lt;=48,"ADULT",TRUE,"SENIOR")</f>
        <v>ADULT</v>
      </c>
      <c r="H505" s="1" t="s">
        <v>29</v>
      </c>
      <c r="I505" s="1" t="s">
        <v>33</v>
      </c>
      <c r="J505" s="1" t="s">
        <v>23</v>
      </c>
      <c r="K505" s="1" t="s">
        <v>39</v>
      </c>
      <c r="L505" s="1">
        <v>15110</v>
      </c>
      <c r="M505" s="3">
        <f t="shared" si="21"/>
        <v>1.2640635340833884E-2</v>
      </c>
      <c r="N505" s="1">
        <v>191</v>
      </c>
      <c r="O505" s="4">
        <f t="shared" si="22"/>
        <v>9.0952380952380949</v>
      </c>
      <c r="P505" s="1">
        <v>21</v>
      </c>
      <c r="Q505" s="1">
        <v>2133.8936030172899</v>
      </c>
      <c r="R505" s="1">
        <v>321.70455412799299</v>
      </c>
      <c r="S505" s="5">
        <f t="shared" si="23"/>
        <v>320.70455412799299</v>
      </c>
      <c r="T505" s="1">
        <v>216</v>
      </c>
      <c r="U505" s="1">
        <v>14</v>
      </c>
      <c r="V505" s="1">
        <v>17</v>
      </c>
      <c r="W505" s="1">
        <v>2243</v>
      </c>
      <c r="X505" s="1">
        <v>0.41890251324574101</v>
      </c>
    </row>
    <row r="506" spans="1:24" x14ac:dyDescent="0.3">
      <c r="A506" s="2">
        <v>45334</v>
      </c>
      <c r="B506" s="1" t="s">
        <v>17</v>
      </c>
      <c r="C506" s="1" t="s">
        <v>35</v>
      </c>
      <c r="D506" s="1" t="s">
        <v>19</v>
      </c>
      <c r="E506" s="1" t="s">
        <v>28</v>
      </c>
      <c r="F506" s="1">
        <v>42</v>
      </c>
      <c r="G506" s="1" t="str" cm="1">
        <f t="array" ref="G506">_xlfn.IFS(F506&lt;=25,"YOUTH",F506&lt;=48,"ADULT",TRUE,"SENIOR")</f>
        <v>ADULT</v>
      </c>
      <c r="H506" s="1" t="s">
        <v>21</v>
      </c>
      <c r="I506" s="1" t="s">
        <v>22</v>
      </c>
      <c r="J506" s="1" t="s">
        <v>38</v>
      </c>
      <c r="K506" s="1" t="s">
        <v>31</v>
      </c>
      <c r="L506" s="1">
        <v>6958</v>
      </c>
      <c r="M506" s="3">
        <f t="shared" si="21"/>
        <v>1.4946823799942513E-2</v>
      </c>
      <c r="N506" s="1">
        <v>104</v>
      </c>
      <c r="O506" s="4">
        <f t="shared" si="22"/>
        <v>13</v>
      </c>
      <c r="P506" s="1">
        <v>8</v>
      </c>
      <c r="Q506" s="1">
        <v>817.64859112263002</v>
      </c>
      <c r="R506" s="1">
        <v>519.794345683438</v>
      </c>
      <c r="S506" s="5">
        <f t="shared" si="23"/>
        <v>518.794345683438</v>
      </c>
      <c r="T506" s="1">
        <v>181</v>
      </c>
      <c r="U506" s="1">
        <v>26</v>
      </c>
      <c r="V506" s="1">
        <v>14</v>
      </c>
      <c r="W506" s="1">
        <v>527</v>
      </c>
      <c r="X506" s="1">
        <v>0.62148570742758003</v>
      </c>
    </row>
    <row r="507" spans="1:24" x14ac:dyDescent="0.3">
      <c r="A507" s="2">
        <v>45330</v>
      </c>
      <c r="B507" s="1" t="s">
        <v>34</v>
      </c>
      <c r="C507" s="1" t="s">
        <v>35</v>
      </c>
      <c r="D507" s="1" t="s">
        <v>32</v>
      </c>
      <c r="E507" s="1" t="s">
        <v>28</v>
      </c>
      <c r="F507" s="1">
        <v>52</v>
      </c>
      <c r="G507" s="1" t="str" cm="1">
        <f t="array" ref="G507">_xlfn.IFS(F507&lt;=25,"YOUTH",F507&lt;=48,"ADULT",TRUE,"SENIOR")</f>
        <v>SENIOR</v>
      </c>
      <c r="H507" s="1" t="s">
        <v>29</v>
      </c>
      <c r="I507" s="1" t="s">
        <v>33</v>
      </c>
      <c r="J507" s="1" t="s">
        <v>23</v>
      </c>
      <c r="K507" s="1" t="s">
        <v>39</v>
      </c>
      <c r="L507" s="1">
        <v>10096</v>
      </c>
      <c r="M507" s="3">
        <f t="shared" si="21"/>
        <v>0.13807448494453248</v>
      </c>
      <c r="N507" s="1">
        <v>1394</v>
      </c>
      <c r="O507" s="4">
        <f t="shared" si="22"/>
        <v>17.209876543209877</v>
      </c>
      <c r="P507" s="1">
        <v>81</v>
      </c>
      <c r="Q507" s="1">
        <v>1308.2755280992501</v>
      </c>
      <c r="R507" s="1">
        <v>419.04790456889202</v>
      </c>
      <c r="S507" s="5">
        <f t="shared" si="23"/>
        <v>418.04790456889202</v>
      </c>
      <c r="T507" s="1">
        <v>159</v>
      </c>
      <c r="U507" s="1">
        <v>25</v>
      </c>
      <c r="V507" s="1">
        <v>11</v>
      </c>
      <c r="W507" s="1">
        <v>1803</v>
      </c>
      <c r="X507" s="1">
        <v>0.90573890373552901</v>
      </c>
    </row>
    <row r="508" spans="1:24" x14ac:dyDescent="0.3">
      <c r="A508" s="2">
        <v>45322</v>
      </c>
      <c r="B508" s="1" t="s">
        <v>34</v>
      </c>
      <c r="C508" s="1" t="s">
        <v>41</v>
      </c>
      <c r="D508" s="1" t="s">
        <v>32</v>
      </c>
      <c r="E508" s="1" t="s">
        <v>20</v>
      </c>
      <c r="F508" s="1">
        <v>58</v>
      </c>
      <c r="G508" s="1" t="str" cm="1">
        <f t="array" ref="G508">_xlfn.IFS(F508&lt;=25,"YOUTH",F508&lt;=48,"ADULT",TRUE,"SENIOR")</f>
        <v>SENIOR</v>
      </c>
      <c r="H508" s="1" t="s">
        <v>29</v>
      </c>
      <c r="I508" s="1" t="s">
        <v>22</v>
      </c>
      <c r="J508" s="1" t="s">
        <v>23</v>
      </c>
      <c r="K508" s="1" t="s">
        <v>24</v>
      </c>
      <c r="L508" s="1">
        <v>8436</v>
      </c>
      <c r="M508" s="3">
        <f t="shared" si="21"/>
        <v>5.9269796111901377E-2</v>
      </c>
      <c r="N508" s="1">
        <v>500</v>
      </c>
      <c r="O508" s="4">
        <f t="shared" si="22"/>
        <v>5.617977528089888</v>
      </c>
      <c r="P508" s="1">
        <v>89</v>
      </c>
      <c r="Q508" s="1">
        <v>684.26483571460801</v>
      </c>
      <c r="R508" s="1">
        <v>5615.6824225082</v>
      </c>
      <c r="S508" s="5">
        <f t="shared" si="23"/>
        <v>5614.6824225082</v>
      </c>
      <c r="T508" s="1">
        <v>126</v>
      </c>
      <c r="U508" s="1">
        <v>9</v>
      </c>
      <c r="V508" s="1">
        <v>6</v>
      </c>
      <c r="W508" s="1">
        <v>1106</v>
      </c>
      <c r="X508" s="1">
        <v>0.56121153352340303</v>
      </c>
    </row>
    <row r="509" spans="1:24" x14ac:dyDescent="0.3">
      <c r="A509" s="2">
        <v>45333</v>
      </c>
      <c r="B509" s="1" t="s">
        <v>17</v>
      </c>
      <c r="C509" s="1" t="s">
        <v>18</v>
      </c>
      <c r="D509" s="1" t="s">
        <v>27</v>
      </c>
      <c r="E509" s="1" t="s">
        <v>28</v>
      </c>
      <c r="F509" s="1">
        <v>47</v>
      </c>
      <c r="G509" s="1" t="str" cm="1">
        <f t="array" ref="G509">_xlfn.IFS(F509&lt;=25,"YOUTH",F509&lt;=48,"ADULT",TRUE,"SENIOR")</f>
        <v>ADULT</v>
      </c>
      <c r="H509" s="1" t="s">
        <v>21</v>
      </c>
      <c r="I509" s="1" t="s">
        <v>43</v>
      </c>
      <c r="J509" s="1" t="s">
        <v>30</v>
      </c>
      <c r="K509" s="1" t="s">
        <v>31</v>
      </c>
      <c r="L509" s="1">
        <v>22177</v>
      </c>
      <c r="M509" s="3">
        <f t="shared" si="21"/>
        <v>6.7502367317491097E-2</v>
      </c>
      <c r="N509" s="1">
        <v>1497</v>
      </c>
      <c r="O509" s="4">
        <f t="shared" si="22"/>
        <v>5.9404761904761907</v>
      </c>
      <c r="P509" s="1">
        <v>252</v>
      </c>
      <c r="Q509" s="1">
        <v>1567.26614422425</v>
      </c>
      <c r="R509" s="1">
        <v>15737.1243185284</v>
      </c>
      <c r="S509" s="5">
        <f t="shared" si="23"/>
        <v>15736.1243185284</v>
      </c>
      <c r="T509" s="1">
        <v>126</v>
      </c>
      <c r="U509" s="1">
        <v>18</v>
      </c>
      <c r="V509" s="1">
        <v>8</v>
      </c>
      <c r="W509" s="1">
        <v>3811</v>
      </c>
      <c r="X509" s="1">
        <v>0.57755781419005703</v>
      </c>
    </row>
    <row r="510" spans="1:24" x14ac:dyDescent="0.3">
      <c r="A510" s="2">
        <v>45301</v>
      </c>
      <c r="B510" s="1" t="s">
        <v>17</v>
      </c>
      <c r="C510" s="1" t="s">
        <v>35</v>
      </c>
      <c r="D510" s="1" t="s">
        <v>32</v>
      </c>
      <c r="E510" s="1" t="s">
        <v>28</v>
      </c>
      <c r="F510" s="1">
        <v>34</v>
      </c>
      <c r="G510" s="1" t="str" cm="1">
        <f t="array" ref="G510">_xlfn.IFS(F510&lt;=25,"YOUTH",F510&lt;=48,"ADULT",TRUE,"SENIOR")</f>
        <v>ADULT</v>
      </c>
      <c r="H510" s="1" t="s">
        <v>42</v>
      </c>
      <c r="I510" s="1" t="s">
        <v>43</v>
      </c>
      <c r="J510" s="1" t="s">
        <v>23</v>
      </c>
      <c r="K510" s="1" t="s">
        <v>31</v>
      </c>
      <c r="L510" s="1">
        <v>27754</v>
      </c>
      <c r="M510" s="3">
        <f t="shared" si="21"/>
        <v>1.2538733155581178E-2</v>
      </c>
      <c r="N510" s="1">
        <v>348</v>
      </c>
      <c r="O510" s="4">
        <f t="shared" si="22"/>
        <v>5.7049180327868854</v>
      </c>
      <c r="P510" s="1">
        <v>61</v>
      </c>
      <c r="Q510" s="1">
        <v>1971.9802381469699</v>
      </c>
      <c r="R510" s="1">
        <v>1561.76088691257</v>
      </c>
      <c r="S510" s="5">
        <f t="shared" si="23"/>
        <v>1560.76088691257</v>
      </c>
      <c r="T510" s="1">
        <v>621</v>
      </c>
      <c r="U510" s="1">
        <v>35</v>
      </c>
      <c r="V510" s="1">
        <v>14</v>
      </c>
      <c r="W510" s="1">
        <v>2181</v>
      </c>
      <c r="X510" s="1">
        <v>0.43626748843260699</v>
      </c>
    </row>
    <row r="511" spans="1:24" x14ac:dyDescent="0.3">
      <c r="A511" s="2">
        <v>45321</v>
      </c>
      <c r="B511" s="1" t="s">
        <v>25</v>
      </c>
      <c r="C511" s="1" t="s">
        <v>41</v>
      </c>
      <c r="D511" s="1" t="s">
        <v>19</v>
      </c>
      <c r="E511" s="1" t="s">
        <v>20</v>
      </c>
      <c r="F511" s="1">
        <v>37</v>
      </c>
      <c r="G511" s="1" t="str" cm="1">
        <f t="array" ref="G511">_xlfn.IFS(F511&lt;=25,"YOUTH",F511&lt;=48,"ADULT",TRUE,"SENIOR")</f>
        <v>ADULT</v>
      </c>
      <c r="H511" s="1" t="s">
        <v>29</v>
      </c>
      <c r="I511" s="1" t="s">
        <v>33</v>
      </c>
      <c r="J511" s="1" t="s">
        <v>23</v>
      </c>
      <c r="K511" s="1" t="s">
        <v>39</v>
      </c>
      <c r="L511" s="1">
        <v>25544</v>
      </c>
      <c r="M511" s="3">
        <f t="shared" si="21"/>
        <v>4.7839022862511744E-2</v>
      </c>
      <c r="N511" s="1">
        <v>1222</v>
      </c>
      <c r="O511" s="4">
        <f t="shared" si="22"/>
        <v>9.4728682170542644</v>
      </c>
      <c r="P511" s="1">
        <v>129</v>
      </c>
      <c r="Q511" s="1">
        <v>2556.5714618290599</v>
      </c>
      <c r="R511" s="1">
        <v>6550.4236029377198</v>
      </c>
      <c r="S511" s="5">
        <f t="shared" si="23"/>
        <v>6549.4236029377198</v>
      </c>
      <c r="T511" s="1">
        <v>643</v>
      </c>
      <c r="U511" s="1">
        <v>60</v>
      </c>
      <c r="V511" s="1">
        <v>52</v>
      </c>
      <c r="W511" s="1">
        <v>962</v>
      </c>
      <c r="X511" s="1">
        <v>0.73827609671311101</v>
      </c>
    </row>
    <row r="512" spans="1:24" x14ac:dyDescent="0.3">
      <c r="A512" s="2">
        <v>45348</v>
      </c>
      <c r="B512" s="1" t="s">
        <v>25</v>
      </c>
      <c r="C512" s="1" t="s">
        <v>41</v>
      </c>
      <c r="D512" s="1" t="s">
        <v>32</v>
      </c>
      <c r="E512" s="1" t="s">
        <v>28</v>
      </c>
      <c r="F512" s="1">
        <v>42</v>
      </c>
      <c r="G512" s="1" t="str" cm="1">
        <f t="array" ref="G512">_xlfn.IFS(F512&lt;=25,"YOUTH",F512&lt;=48,"ADULT",TRUE,"SENIOR")</f>
        <v>ADULT</v>
      </c>
      <c r="H512" s="1" t="s">
        <v>21</v>
      </c>
      <c r="I512" s="1" t="s">
        <v>22</v>
      </c>
      <c r="J512" s="1" t="s">
        <v>23</v>
      </c>
      <c r="K512" s="1" t="s">
        <v>31</v>
      </c>
      <c r="L512" s="1">
        <v>13638</v>
      </c>
      <c r="M512" s="3">
        <f t="shared" si="21"/>
        <v>0.12259862149875349</v>
      </c>
      <c r="N512" s="1">
        <v>1672</v>
      </c>
      <c r="O512" s="4">
        <f t="shared" si="22"/>
        <v>12.477611940298507</v>
      </c>
      <c r="P512" s="1">
        <v>134</v>
      </c>
      <c r="Q512" s="1">
        <v>493.02422469999999</v>
      </c>
      <c r="R512" s="1">
        <v>2871.9656174083202</v>
      </c>
      <c r="S512" s="5">
        <f t="shared" si="23"/>
        <v>2870.9656174083202</v>
      </c>
      <c r="T512" s="1">
        <v>294</v>
      </c>
      <c r="U512" s="1">
        <v>55</v>
      </c>
      <c r="V512" s="1">
        <v>8</v>
      </c>
      <c r="W512" s="1">
        <v>997</v>
      </c>
      <c r="X512" s="1">
        <v>0.86708330036408598</v>
      </c>
    </row>
    <row r="513" spans="1:24" x14ac:dyDescent="0.3">
      <c r="A513" s="2">
        <v>45343</v>
      </c>
      <c r="B513" s="1" t="s">
        <v>40</v>
      </c>
      <c r="C513" s="1" t="s">
        <v>26</v>
      </c>
      <c r="D513" s="1" t="s">
        <v>36</v>
      </c>
      <c r="E513" s="1" t="s">
        <v>20</v>
      </c>
      <c r="F513" s="1">
        <v>39</v>
      </c>
      <c r="G513" s="1" t="str" cm="1">
        <f t="array" ref="G513">_xlfn.IFS(F513&lt;=25,"YOUTH",F513&lt;=48,"ADULT",TRUE,"SENIOR")</f>
        <v>ADULT</v>
      </c>
      <c r="H513" s="1" t="s">
        <v>21</v>
      </c>
      <c r="I513" s="1" t="s">
        <v>37</v>
      </c>
      <c r="J513" s="1" t="s">
        <v>23</v>
      </c>
      <c r="K513" s="1" t="s">
        <v>31</v>
      </c>
      <c r="L513" s="1">
        <v>1179</v>
      </c>
      <c r="M513" s="3">
        <f t="shared" si="21"/>
        <v>9.5843935538592023E-2</v>
      </c>
      <c r="N513" s="1">
        <v>113</v>
      </c>
      <c r="O513" s="4">
        <f t="shared" si="22"/>
        <v>5.1363636363636367</v>
      </c>
      <c r="P513" s="1">
        <v>22</v>
      </c>
      <c r="Q513" s="1">
        <v>112.39907339626301</v>
      </c>
      <c r="R513" s="1">
        <v>1195.0461940231301</v>
      </c>
      <c r="S513" s="5">
        <f t="shared" si="23"/>
        <v>1194.0461940231301</v>
      </c>
      <c r="T513" s="1">
        <v>10</v>
      </c>
      <c r="U513" s="1">
        <v>0</v>
      </c>
      <c r="V513" s="1">
        <v>0</v>
      </c>
      <c r="W513" s="1">
        <v>113</v>
      </c>
      <c r="X513" s="1">
        <v>0.59410759120120504</v>
      </c>
    </row>
    <row r="514" spans="1:24" x14ac:dyDescent="0.3">
      <c r="A514" s="2">
        <v>45309</v>
      </c>
      <c r="B514" s="1" t="s">
        <v>40</v>
      </c>
      <c r="C514" s="1" t="s">
        <v>41</v>
      </c>
      <c r="D514" s="1" t="s">
        <v>36</v>
      </c>
      <c r="E514" s="1" t="s">
        <v>28</v>
      </c>
      <c r="F514" s="1">
        <v>30</v>
      </c>
      <c r="G514" s="1" t="str" cm="1">
        <f t="array" ref="G514">_xlfn.IFS(F514&lt;=25,"YOUTH",F514&lt;=48,"ADULT",TRUE,"SENIOR")</f>
        <v>ADULT</v>
      </c>
      <c r="H514" s="1" t="s">
        <v>29</v>
      </c>
      <c r="I514" s="1" t="s">
        <v>22</v>
      </c>
      <c r="J514" s="1" t="s">
        <v>23</v>
      </c>
      <c r="K514" s="1" t="s">
        <v>31</v>
      </c>
      <c r="L514" s="1">
        <v>4873</v>
      </c>
      <c r="M514" s="3">
        <f t="shared" si="21"/>
        <v>0.11532936589369998</v>
      </c>
      <c r="N514" s="1">
        <v>562</v>
      </c>
      <c r="O514" s="4">
        <f t="shared" si="22"/>
        <v>5.0630630630630629</v>
      </c>
      <c r="P514" s="1">
        <v>111</v>
      </c>
      <c r="Q514" s="1">
        <v>518.81501559778803</v>
      </c>
      <c r="R514" s="1">
        <v>4603.4789369985601</v>
      </c>
      <c r="S514" s="5">
        <f t="shared" si="23"/>
        <v>4602.4789369985601</v>
      </c>
      <c r="T514" s="1">
        <v>36</v>
      </c>
      <c r="U514" s="1">
        <v>2</v>
      </c>
      <c r="V514" s="1">
        <v>1</v>
      </c>
      <c r="W514" s="1">
        <v>542</v>
      </c>
      <c r="X514" s="1">
        <v>0.53213505663599303</v>
      </c>
    </row>
    <row r="515" spans="1:24" x14ac:dyDescent="0.3">
      <c r="A515" s="2">
        <v>45351</v>
      </c>
      <c r="B515" s="1" t="s">
        <v>40</v>
      </c>
      <c r="C515" s="1" t="s">
        <v>35</v>
      </c>
      <c r="D515" s="1" t="s">
        <v>19</v>
      </c>
      <c r="E515" s="1" t="s">
        <v>20</v>
      </c>
      <c r="F515" s="1">
        <v>36</v>
      </c>
      <c r="G515" s="1" t="str" cm="1">
        <f t="array" ref="G515">_xlfn.IFS(F515&lt;=25,"YOUTH",F515&lt;=48,"ADULT",TRUE,"SENIOR")</f>
        <v>ADULT</v>
      </c>
      <c r="H515" s="1" t="s">
        <v>21</v>
      </c>
      <c r="I515" s="1" t="s">
        <v>43</v>
      </c>
      <c r="J515" s="1" t="s">
        <v>23</v>
      </c>
      <c r="K515" s="1" t="s">
        <v>31</v>
      </c>
      <c r="L515" s="1">
        <v>18570</v>
      </c>
      <c r="M515" s="3">
        <f t="shared" ref="M515:M578" si="24">(N515/L515)</f>
        <v>7.259019924609586E-2</v>
      </c>
      <c r="N515" s="1">
        <v>1348</v>
      </c>
      <c r="O515" s="4">
        <f t="shared" ref="O515:O578" si="25">(N515/P515)</f>
        <v>8.0238095238095237</v>
      </c>
      <c r="P515" s="1">
        <v>168</v>
      </c>
      <c r="Q515" s="1">
        <v>1430.96958973188</v>
      </c>
      <c r="R515" s="1">
        <v>4118.4619603844203</v>
      </c>
      <c r="S515" s="5">
        <f t="shared" ref="S515:S578" si="26">(R515-Q515/Q515)</f>
        <v>4117.4619603844203</v>
      </c>
      <c r="T515" s="1">
        <v>358</v>
      </c>
      <c r="U515" s="1">
        <v>41</v>
      </c>
      <c r="V515" s="1">
        <v>31</v>
      </c>
      <c r="W515" s="1">
        <v>1987</v>
      </c>
      <c r="X515" s="1">
        <v>0.92613651979012201</v>
      </c>
    </row>
    <row r="516" spans="1:24" x14ac:dyDescent="0.3">
      <c r="A516" s="2">
        <v>45315</v>
      </c>
      <c r="B516" s="1" t="s">
        <v>40</v>
      </c>
      <c r="C516" s="1" t="s">
        <v>26</v>
      </c>
      <c r="D516" s="1" t="s">
        <v>36</v>
      </c>
      <c r="E516" s="1" t="s">
        <v>20</v>
      </c>
      <c r="F516" s="1">
        <v>53</v>
      </c>
      <c r="G516" s="1" t="str" cm="1">
        <f t="array" ref="G516">_xlfn.IFS(F516&lt;=25,"YOUTH",F516&lt;=48,"ADULT",TRUE,"SENIOR")</f>
        <v>SENIOR</v>
      </c>
      <c r="H516" s="1" t="s">
        <v>29</v>
      </c>
      <c r="I516" s="1" t="s">
        <v>43</v>
      </c>
      <c r="J516" s="1" t="s">
        <v>23</v>
      </c>
      <c r="K516" s="1" t="s">
        <v>39</v>
      </c>
      <c r="L516" s="1">
        <v>49223</v>
      </c>
      <c r="M516" s="3">
        <f t="shared" si="24"/>
        <v>5.3349044146029298E-2</v>
      </c>
      <c r="N516" s="1">
        <v>2626</v>
      </c>
      <c r="O516" s="4">
        <f t="shared" si="25"/>
        <v>6.2227488151658772</v>
      </c>
      <c r="P516" s="1">
        <v>422</v>
      </c>
      <c r="Q516" s="1">
        <v>7083.76723248693</v>
      </c>
      <c r="R516" s="1">
        <v>13088.4392922808</v>
      </c>
      <c r="S516" s="5">
        <f t="shared" si="26"/>
        <v>13087.4392922808</v>
      </c>
      <c r="T516" s="1">
        <v>740</v>
      </c>
      <c r="U516" s="1">
        <v>131</v>
      </c>
      <c r="V516" s="1">
        <v>47</v>
      </c>
      <c r="W516" s="1">
        <v>5599</v>
      </c>
      <c r="X516" s="1">
        <v>0.80978993802531796</v>
      </c>
    </row>
    <row r="517" spans="1:24" x14ac:dyDescent="0.3">
      <c r="A517" s="2">
        <v>45343</v>
      </c>
      <c r="B517" s="1" t="s">
        <v>25</v>
      </c>
      <c r="C517" s="1" t="s">
        <v>18</v>
      </c>
      <c r="D517" s="1" t="s">
        <v>27</v>
      </c>
      <c r="E517" s="1" t="s">
        <v>20</v>
      </c>
      <c r="F517" s="1">
        <v>29</v>
      </c>
      <c r="G517" s="1" t="str" cm="1">
        <f t="array" ref="G517">_xlfn.IFS(F517&lt;=25,"YOUTH",F517&lt;=48,"ADULT",TRUE,"SENIOR")</f>
        <v>ADULT</v>
      </c>
      <c r="H517" s="1" t="s">
        <v>29</v>
      </c>
      <c r="I517" s="1" t="s">
        <v>22</v>
      </c>
      <c r="J517" s="1" t="s">
        <v>30</v>
      </c>
      <c r="K517" s="1" t="s">
        <v>31</v>
      </c>
      <c r="L517" s="1">
        <v>18157</v>
      </c>
      <c r="M517" s="3">
        <f t="shared" si="24"/>
        <v>7.7545850085366519E-2</v>
      </c>
      <c r="N517" s="1">
        <v>1408</v>
      </c>
      <c r="O517" s="4">
        <f t="shared" si="25"/>
        <v>9.4496644295302019</v>
      </c>
      <c r="P517" s="1">
        <v>149</v>
      </c>
      <c r="Q517" s="1">
        <v>1798.77269025747</v>
      </c>
      <c r="R517" s="1">
        <v>7426.5723717289302</v>
      </c>
      <c r="S517" s="5">
        <f t="shared" si="26"/>
        <v>7425.5723717289302</v>
      </c>
      <c r="T517" s="1">
        <v>285</v>
      </c>
      <c r="U517" s="1">
        <v>17</v>
      </c>
      <c r="V517" s="1">
        <v>21</v>
      </c>
      <c r="W517" s="1">
        <v>3085</v>
      </c>
      <c r="X517" s="1">
        <v>0.71193995760579498</v>
      </c>
    </row>
    <row r="518" spans="1:24" x14ac:dyDescent="0.3">
      <c r="A518" s="2">
        <v>45300</v>
      </c>
      <c r="B518" s="1" t="s">
        <v>34</v>
      </c>
      <c r="C518" s="1" t="s">
        <v>18</v>
      </c>
      <c r="D518" s="1" t="s">
        <v>32</v>
      </c>
      <c r="E518" s="1" t="s">
        <v>20</v>
      </c>
      <c r="F518" s="1">
        <v>58</v>
      </c>
      <c r="G518" s="1" t="str" cm="1">
        <f t="array" ref="G518">_xlfn.IFS(F518&lt;=25,"YOUTH",F518&lt;=48,"ADULT",TRUE,"SENIOR")</f>
        <v>SENIOR</v>
      </c>
      <c r="H518" s="1" t="s">
        <v>42</v>
      </c>
      <c r="I518" s="1" t="s">
        <v>22</v>
      </c>
      <c r="J518" s="1" t="s">
        <v>23</v>
      </c>
      <c r="K518" s="1" t="s">
        <v>24</v>
      </c>
      <c r="L518" s="1">
        <v>46565</v>
      </c>
      <c r="M518" s="3">
        <f t="shared" si="24"/>
        <v>5.5213142918501018E-2</v>
      </c>
      <c r="N518" s="1">
        <v>2571</v>
      </c>
      <c r="O518" s="4">
        <f t="shared" si="25"/>
        <v>5.5171673819742493</v>
      </c>
      <c r="P518" s="1">
        <v>466</v>
      </c>
      <c r="Q518" s="1">
        <v>2263.0558052107899</v>
      </c>
      <c r="R518" s="1">
        <v>29775.691749710099</v>
      </c>
      <c r="S518" s="5">
        <f t="shared" si="26"/>
        <v>29774.691749710099</v>
      </c>
      <c r="T518" s="1">
        <v>1359</v>
      </c>
      <c r="U518" s="1">
        <v>140</v>
      </c>
      <c r="V518" s="1">
        <v>101</v>
      </c>
      <c r="W518" s="1">
        <v>1970</v>
      </c>
      <c r="X518" s="1">
        <v>0.56804214148968601</v>
      </c>
    </row>
    <row r="519" spans="1:24" x14ac:dyDescent="0.3">
      <c r="A519" s="2">
        <v>45322</v>
      </c>
      <c r="B519" s="1" t="s">
        <v>40</v>
      </c>
      <c r="C519" s="1" t="s">
        <v>35</v>
      </c>
      <c r="D519" s="1" t="s">
        <v>19</v>
      </c>
      <c r="E519" s="1" t="s">
        <v>28</v>
      </c>
      <c r="F519" s="1">
        <v>36</v>
      </c>
      <c r="G519" s="1" t="str" cm="1">
        <f t="array" ref="G519">_xlfn.IFS(F519&lt;=25,"YOUTH",F519&lt;=48,"ADULT",TRUE,"SENIOR")</f>
        <v>ADULT</v>
      </c>
      <c r="H519" s="1" t="s">
        <v>29</v>
      </c>
      <c r="I519" s="1" t="s">
        <v>37</v>
      </c>
      <c r="J519" s="1" t="s">
        <v>23</v>
      </c>
      <c r="K519" s="1" t="s">
        <v>39</v>
      </c>
      <c r="L519" s="1">
        <v>5460</v>
      </c>
      <c r="M519" s="3">
        <f t="shared" si="24"/>
        <v>0.12728937728937728</v>
      </c>
      <c r="N519" s="1">
        <v>695</v>
      </c>
      <c r="O519" s="4">
        <f t="shared" si="25"/>
        <v>4.7278911564625847</v>
      </c>
      <c r="P519" s="1">
        <v>147</v>
      </c>
      <c r="Q519" s="1">
        <v>449.34769952630899</v>
      </c>
      <c r="R519" s="1">
        <v>1984.0918658003</v>
      </c>
      <c r="S519" s="5">
        <f t="shared" si="26"/>
        <v>1983.0918658003</v>
      </c>
      <c r="T519" s="1">
        <v>126</v>
      </c>
      <c r="U519" s="1">
        <v>23</v>
      </c>
      <c r="V519" s="1">
        <v>11</v>
      </c>
      <c r="W519" s="1">
        <v>382</v>
      </c>
      <c r="X519" s="1">
        <v>0.52143890988702002</v>
      </c>
    </row>
    <row r="520" spans="1:24" x14ac:dyDescent="0.3">
      <c r="A520" s="2">
        <v>45306</v>
      </c>
      <c r="B520" s="1" t="s">
        <v>34</v>
      </c>
      <c r="C520" s="1" t="s">
        <v>35</v>
      </c>
      <c r="D520" s="1" t="s">
        <v>27</v>
      </c>
      <c r="E520" s="1" t="s">
        <v>28</v>
      </c>
      <c r="F520" s="1">
        <v>29</v>
      </c>
      <c r="G520" s="1" t="str" cm="1">
        <f t="array" ref="G520">_xlfn.IFS(F520&lt;=25,"YOUTH",F520&lt;=48,"ADULT",TRUE,"SENIOR")</f>
        <v>ADULT</v>
      </c>
      <c r="H520" s="1" t="s">
        <v>21</v>
      </c>
      <c r="I520" s="1" t="s">
        <v>37</v>
      </c>
      <c r="J520" s="1" t="s">
        <v>23</v>
      </c>
      <c r="K520" s="1" t="s">
        <v>39</v>
      </c>
      <c r="L520" s="1">
        <v>49084</v>
      </c>
      <c r="M520" s="3">
        <f t="shared" si="24"/>
        <v>5.1666530845081902E-2</v>
      </c>
      <c r="N520" s="1">
        <v>2536</v>
      </c>
      <c r="O520" s="4">
        <f t="shared" si="25"/>
        <v>5.610619469026549</v>
      </c>
      <c r="P520" s="1">
        <v>452</v>
      </c>
      <c r="Q520" s="1">
        <v>5291.3816809999998</v>
      </c>
      <c r="R520" s="1">
        <v>19046.6734288798</v>
      </c>
      <c r="S520" s="5">
        <f t="shared" si="26"/>
        <v>19045.6734288798</v>
      </c>
      <c r="T520" s="1">
        <v>750</v>
      </c>
      <c r="U520" s="1">
        <v>50</v>
      </c>
      <c r="V520" s="1">
        <v>22</v>
      </c>
      <c r="W520" s="1">
        <v>8777</v>
      </c>
      <c r="X520" s="1">
        <v>0.79365922145025602</v>
      </c>
    </row>
    <row r="521" spans="1:24" x14ac:dyDescent="0.3">
      <c r="A521" s="2">
        <v>45295</v>
      </c>
      <c r="B521" s="1" t="s">
        <v>40</v>
      </c>
      <c r="C521" s="1" t="s">
        <v>26</v>
      </c>
      <c r="D521" s="1" t="s">
        <v>32</v>
      </c>
      <c r="E521" s="1" t="s">
        <v>20</v>
      </c>
      <c r="F521" s="1">
        <v>26</v>
      </c>
      <c r="G521" s="1" t="str" cm="1">
        <f t="array" ref="G521">_xlfn.IFS(F521&lt;=25,"YOUTH",F521&lt;=48,"ADULT",TRUE,"SENIOR")</f>
        <v>ADULT</v>
      </c>
      <c r="H521" s="1" t="s">
        <v>21</v>
      </c>
      <c r="I521" s="1" t="s">
        <v>22</v>
      </c>
      <c r="J521" s="1" t="s">
        <v>38</v>
      </c>
      <c r="K521" s="1" t="s">
        <v>39</v>
      </c>
      <c r="L521" s="1">
        <v>1352</v>
      </c>
      <c r="M521" s="3">
        <f t="shared" si="24"/>
        <v>0.10207100591715976</v>
      </c>
      <c r="N521" s="1">
        <v>138</v>
      </c>
      <c r="O521" s="4">
        <f t="shared" si="25"/>
        <v>7.2631578947368425</v>
      </c>
      <c r="P521" s="1">
        <v>19</v>
      </c>
      <c r="Q521" s="1">
        <v>83.921054940000005</v>
      </c>
      <c r="R521" s="1">
        <v>408.35556132954002</v>
      </c>
      <c r="S521" s="5">
        <f t="shared" si="26"/>
        <v>407.35556132954002</v>
      </c>
      <c r="T521" s="1">
        <v>7</v>
      </c>
      <c r="U521" s="1">
        <v>0</v>
      </c>
      <c r="V521" s="1">
        <v>0</v>
      </c>
      <c r="W521" s="1">
        <v>157</v>
      </c>
      <c r="X521" s="1">
        <v>0.68698384942553903</v>
      </c>
    </row>
    <row r="522" spans="1:24" x14ac:dyDescent="0.3">
      <c r="A522" s="2">
        <v>45331</v>
      </c>
      <c r="B522" s="1" t="s">
        <v>17</v>
      </c>
      <c r="C522" s="1" t="s">
        <v>26</v>
      </c>
      <c r="D522" s="1" t="s">
        <v>27</v>
      </c>
      <c r="E522" s="1" t="s">
        <v>28</v>
      </c>
      <c r="F522" s="1">
        <v>24</v>
      </c>
      <c r="G522" s="1" t="str" cm="1">
        <f t="array" ref="G522">_xlfn.IFS(F522&lt;=25,"YOUTH",F522&lt;=48,"ADULT",TRUE,"SENIOR")</f>
        <v>YOUTH</v>
      </c>
      <c r="H522" s="1" t="s">
        <v>29</v>
      </c>
      <c r="I522" s="1" t="s">
        <v>22</v>
      </c>
      <c r="J522" s="1" t="s">
        <v>23</v>
      </c>
      <c r="K522" s="1" t="s">
        <v>24</v>
      </c>
      <c r="L522" s="1">
        <v>22586</v>
      </c>
      <c r="M522" s="3">
        <f t="shared" si="24"/>
        <v>2.9177366510227575E-2</v>
      </c>
      <c r="N522" s="1">
        <v>659</v>
      </c>
      <c r="O522" s="4">
        <f t="shared" si="25"/>
        <v>8.036585365853659</v>
      </c>
      <c r="P522" s="1">
        <v>82</v>
      </c>
      <c r="Q522" s="1">
        <v>685.56209155370402</v>
      </c>
      <c r="R522" s="1">
        <v>4681.3140918361896</v>
      </c>
      <c r="S522" s="5">
        <f t="shared" si="26"/>
        <v>4680.3140918361896</v>
      </c>
      <c r="T522" s="1">
        <v>132</v>
      </c>
      <c r="U522" s="1">
        <v>22</v>
      </c>
      <c r="V522" s="1">
        <v>8</v>
      </c>
      <c r="W522" s="1">
        <v>2729</v>
      </c>
      <c r="X522" s="1">
        <v>0.68632989924163901</v>
      </c>
    </row>
    <row r="523" spans="1:24" x14ac:dyDescent="0.3">
      <c r="A523" s="2">
        <v>45300</v>
      </c>
      <c r="B523" s="1" t="s">
        <v>40</v>
      </c>
      <c r="C523" s="1" t="s">
        <v>35</v>
      </c>
      <c r="D523" s="1" t="s">
        <v>19</v>
      </c>
      <c r="E523" s="1" t="s">
        <v>28</v>
      </c>
      <c r="F523" s="1">
        <v>45</v>
      </c>
      <c r="G523" s="1" t="str" cm="1">
        <f t="array" ref="G523">_xlfn.IFS(F523&lt;=25,"YOUTH",F523&lt;=48,"ADULT",TRUE,"SENIOR")</f>
        <v>ADULT</v>
      </c>
      <c r="H523" s="1" t="s">
        <v>21</v>
      </c>
      <c r="I523" s="1" t="s">
        <v>22</v>
      </c>
      <c r="J523" s="1" t="s">
        <v>23</v>
      </c>
      <c r="K523" s="1" t="s">
        <v>31</v>
      </c>
      <c r="L523" s="1">
        <v>6344</v>
      </c>
      <c r="M523" s="3">
        <f t="shared" si="24"/>
        <v>0.10608448928121059</v>
      </c>
      <c r="N523" s="1">
        <v>673</v>
      </c>
      <c r="O523" s="4">
        <f t="shared" si="25"/>
        <v>6.0089285714285712</v>
      </c>
      <c r="P523" s="1">
        <v>112</v>
      </c>
      <c r="Q523" s="1">
        <v>608.05103665876095</v>
      </c>
      <c r="R523" s="1">
        <v>1071.32758672982</v>
      </c>
      <c r="S523" s="5">
        <f t="shared" si="26"/>
        <v>1070.32758672982</v>
      </c>
      <c r="T523" s="1">
        <v>140</v>
      </c>
      <c r="U523" s="1">
        <v>18</v>
      </c>
      <c r="V523" s="1">
        <v>3</v>
      </c>
      <c r="W523" s="1">
        <v>639</v>
      </c>
      <c r="X523" s="1">
        <v>0.44054040026973401</v>
      </c>
    </row>
    <row r="524" spans="1:24" x14ac:dyDescent="0.3">
      <c r="A524" s="2">
        <v>45336</v>
      </c>
      <c r="B524" s="1" t="s">
        <v>40</v>
      </c>
      <c r="C524" s="1" t="s">
        <v>35</v>
      </c>
      <c r="D524" s="1" t="s">
        <v>19</v>
      </c>
      <c r="E524" s="1" t="s">
        <v>28</v>
      </c>
      <c r="F524" s="1">
        <v>31</v>
      </c>
      <c r="G524" s="1" t="str" cm="1">
        <f t="array" ref="G524">_xlfn.IFS(F524&lt;=25,"YOUTH",F524&lt;=48,"ADULT",TRUE,"SENIOR")</f>
        <v>ADULT</v>
      </c>
      <c r="H524" s="1" t="s">
        <v>42</v>
      </c>
      <c r="I524" s="1" t="s">
        <v>22</v>
      </c>
      <c r="J524" s="1" t="s">
        <v>23</v>
      </c>
      <c r="K524" s="1" t="s">
        <v>24</v>
      </c>
      <c r="L524" s="1">
        <v>5507</v>
      </c>
      <c r="M524" s="3">
        <f t="shared" si="24"/>
        <v>0.13782458688941349</v>
      </c>
      <c r="N524" s="1">
        <v>759</v>
      </c>
      <c r="O524" s="4">
        <f t="shared" si="25"/>
        <v>5.7067669172932334</v>
      </c>
      <c r="P524" s="1">
        <v>133</v>
      </c>
      <c r="Q524" s="1">
        <v>788.72973239999999</v>
      </c>
      <c r="R524" s="1">
        <v>6621.0228060297604</v>
      </c>
      <c r="S524" s="5">
        <f t="shared" si="26"/>
        <v>6620.0228060297604</v>
      </c>
      <c r="T524" s="1">
        <v>142</v>
      </c>
      <c r="U524" s="1">
        <v>24</v>
      </c>
      <c r="V524" s="1">
        <v>5</v>
      </c>
      <c r="W524" s="1">
        <v>629</v>
      </c>
      <c r="X524" s="1">
        <v>0.68170696221778304</v>
      </c>
    </row>
    <row r="525" spans="1:24" x14ac:dyDescent="0.3">
      <c r="A525" s="2">
        <v>45300</v>
      </c>
      <c r="B525" s="1" t="s">
        <v>40</v>
      </c>
      <c r="C525" s="1" t="s">
        <v>18</v>
      </c>
      <c r="D525" s="1" t="s">
        <v>27</v>
      </c>
      <c r="E525" s="1" t="s">
        <v>20</v>
      </c>
      <c r="F525" s="1">
        <v>48</v>
      </c>
      <c r="G525" s="1" t="str" cm="1">
        <f t="array" ref="G525">_xlfn.IFS(F525&lt;=25,"YOUTH",F525&lt;=48,"ADULT",TRUE,"SENIOR")</f>
        <v>ADULT</v>
      </c>
      <c r="H525" s="1" t="s">
        <v>29</v>
      </c>
      <c r="I525" s="1" t="s">
        <v>33</v>
      </c>
      <c r="J525" s="1" t="s">
        <v>23</v>
      </c>
      <c r="K525" s="1" t="s">
        <v>39</v>
      </c>
      <c r="L525" s="1">
        <v>38598</v>
      </c>
      <c r="M525" s="3">
        <f t="shared" si="24"/>
        <v>9.5186279081817704E-2</v>
      </c>
      <c r="N525" s="1">
        <v>3674</v>
      </c>
      <c r="O525" s="4">
        <f t="shared" si="25"/>
        <v>6.7412844036697246</v>
      </c>
      <c r="P525" s="1">
        <v>545</v>
      </c>
      <c r="Q525" s="1">
        <v>3205.92510483975</v>
      </c>
      <c r="R525" s="1">
        <v>8922.4625350000006</v>
      </c>
      <c r="S525" s="5">
        <f t="shared" si="26"/>
        <v>8921.4625350000006</v>
      </c>
      <c r="T525" s="1">
        <v>875</v>
      </c>
      <c r="U525" s="1">
        <v>58</v>
      </c>
      <c r="V525" s="1">
        <v>36</v>
      </c>
      <c r="W525" s="1">
        <v>1838</v>
      </c>
      <c r="X525" s="1">
        <v>0.852509217071721</v>
      </c>
    </row>
    <row r="526" spans="1:24" x14ac:dyDescent="0.3">
      <c r="A526" s="2">
        <v>45317</v>
      </c>
      <c r="B526" s="1" t="s">
        <v>25</v>
      </c>
      <c r="C526" s="1" t="s">
        <v>18</v>
      </c>
      <c r="D526" s="1" t="s">
        <v>32</v>
      </c>
      <c r="E526" s="1" t="s">
        <v>28</v>
      </c>
      <c r="F526" s="1">
        <v>36</v>
      </c>
      <c r="G526" s="1" t="str" cm="1">
        <f t="array" ref="G526">_xlfn.IFS(F526&lt;=25,"YOUTH",F526&lt;=48,"ADULT",TRUE,"SENIOR")</f>
        <v>ADULT</v>
      </c>
      <c r="H526" s="1" t="s">
        <v>21</v>
      </c>
      <c r="I526" s="1" t="s">
        <v>22</v>
      </c>
      <c r="J526" s="1" t="s">
        <v>38</v>
      </c>
      <c r="K526" s="1" t="s">
        <v>39</v>
      </c>
      <c r="L526" s="1">
        <v>44988</v>
      </c>
      <c r="M526" s="3">
        <f t="shared" si="24"/>
        <v>8.8379123321774694E-2</v>
      </c>
      <c r="N526" s="1">
        <v>3976</v>
      </c>
      <c r="O526" s="4">
        <f t="shared" si="25"/>
        <v>6.10752688172043</v>
      </c>
      <c r="P526" s="1">
        <v>651</v>
      </c>
      <c r="Q526" s="1">
        <v>6199.0845916193603</v>
      </c>
      <c r="R526" s="1">
        <v>28491.048979732601</v>
      </c>
      <c r="S526" s="5">
        <f t="shared" si="26"/>
        <v>28490.048979732601</v>
      </c>
      <c r="T526" s="1">
        <v>681</v>
      </c>
      <c r="U526" s="1">
        <v>128</v>
      </c>
      <c r="V526" s="1">
        <v>17</v>
      </c>
      <c r="W526" s="1">
        <v>5124</v>
      </c>
      <c r="X526" s="1">
        <v>0.92073960278766698</v>
      </c>
    </row>
    <row r="527" spans="1:24" x14ac:dyDescent="0.3">
      <c r="A527" s="2">
        <v>45295</v>
      </c>
      <c r="B527" s="1" t="s">
        <v>17</v>
      </c>
      <c r="C527" s="1" t="s">
        <v>18</v>
      </c>
      <c r="D527" s="1" t="s">
        <v>36</v>
      </c>
      <c r="E527" s="1" t="s">
        <v>28</v>
      </c>
      <c r="F527" s="1">
        <v>33</v>
      </c>
      <c r="G527" s="1" t="str" cm="1">
        <f t="array" ref="G527">_xlfn.IFS(F527&lt;=25,"YOUTH",F527&lt;=48,"ADULT",TRUE,"SENIOR")</f>
        <v>ADULT</v>
      </c>
      <c r="H527" s="1" t="s">
        <v>21</v>
      </c>
      <c r="I527" s="1" t="s">
        <v>37</v>
      </c>
      <c r="J527" s="1" t="s">
        <v>38</v>
      </c>
      <c r="K527" s="1" t="s">
        <v>39</v>
      </c>
      <c r="L527" s="1">
        <v>33885</v>
      </c>
      <c r="M527" s="3">
        <f t="shared" si="24"/>
        <v>0.144547734985982</v>
      </c>
      <c r="N527" s="1">
        <v>4898</v>
      </c>
      <c r="O527" s="4">
        <f t="shared" si="25"/>
        <v>23.776699029126213</v>
      </c>
      <c r="P527" s="1">
        <v>206</v>
      </c>
      <c r="Q527" s="1">
        <v>4356.0206580000004</v>
      </c>
      <c r="R527" s="1">
        <v>12219.9237425101</v>
      </c>
      <c r="S527" s="5">
        <f t="shared" si="26"/>
        <v>12218.9237425101</v>
      </c>
      <c r="T527" s="1">
        <v>195</v>
      </c>
      <c r="U527" s="1">
        <v>37</v>
      </c>
      <c r="V527" s="1">
        <v>9</v>
      </c>
      <c r="W527" s="1">
        <v>6758</v>
      </c>
      <c r="X527" s="1">
        <v>0.45867531861495398</v>
      </c>
    </row>
    <row r="528" spans="1:24" x14ac:dyDescent="0.3">
      <c r="A528" s="2">
        <v>45308</v>
      </c>
      <c r="B528" s="1" t="s">
        <v>40</v>
      </c>
      <c r="C528" s="1" t="s">
        <v>35</v>
      </c>
      <c r="D528" s="1" t="s">
        <v>36</v>
      </c>
      <c r="E528" s="1" t="s">
        <v>20</v>
      </c>
      <c r="F528" s="1">
        <v>22</v>
      </c>
      <c r="G528" s="1" t="str" cm="1">
        <f t="array" ref="G528">_xlfn.IFS(F528&lt;=25,"YOUTH",F528&lt;=48,"ADULT",TRUE,"SENIOR")</f>
        <v>YOUTH</v>
      </c>
      <c r="H528" s="1" t="s">
        <v>21</v>
      </c>
      <c r="I528" s="1" t="s">
        <v>43</v>
      </c>
      <c r="J528" s="1" t="s">
        <v>23</v>
      </c>
      <c r="K528" s="1" t="s">
        <v>31</v>
      </c>
      <c r="L528" s="1">
        <v>17865</v>
      </c>
      <c r="M528" s="3">
        <f t="shared" si="24"/>
        <v>9.7788972851945141E-2</v>
      </c>
      <c r="N528" s="1">
        <v>1747</v>
      </c>
      <c r="O528" s="4">
        <f t="shared" si="25"/>
        <v>4.1894484412470021</v>
      </c>
      <c r="P528" s="1">
        <v>417</v>
      </c>
      <c r="Q528" s="1">
        <v>699.65881935074401</v>
      </c>
      <c r="R528" s="1">
        <v>22551.461346808101</v>
      </c>
      <c r="S528" s="5">
        <f t="shared" si="26"/>
        <v>22550.461346808101</v>
      </c>
      <c r="T528" s="1">
        <v>521</v>
      </c>
      <c r="U528" s="1">
        <v>38</v>
      </c>
      <c r="V528" s="1">
        <v>11</v>
      </c>
      <c r="W528" s="1">
        <v>2100</v>
      </c>
      <c r="X528" s="1">
        <v>0.74714086588448803</v>
      </c>
    </row>
    <row r="529" spans="1:24" x14ac:dyDescent="0.3">
      <c r="A529" s="2">
        <v>45307</v>
      </c>
      <c r="B529" s="1" t="s">
        <v>40</v>
      </c>
      <c r="C529" s="1" t="s">
        <v>41</v>
      </c>
      <c r="D529" s="1" t="s">
        <v>27</v>
      </c>
      <c r="E529" s="1" t="s">
        <v>28</v>
      </c>
      <c r="F529" s="1">
        <v>52</v>
      </c>
      <c r="G529" s="1" t="str" cm="1">
        <f t="array" ref="G529">_xlfn.IFS(F529&lt;=25,"YOUTH",F529&lt;=48,"ADULT",TRUE,"SENIOR")</f>
        <v>SENIOR</v>
      </c>
      <c r="H529" s="1" t="s">
        <v>21</v>
      </c>
      <c r="I529" s="1" t="s">
        <v>33</v>
      </c>
      <c r="J529" s="1" t="s">
        <v>23</v>
      </c>
      <c r="K529" s="1" t="s">
        <v>31</v>
      </c>
      <c r="L529" s="1">
        <v>38055</v>
      </c>
      <c r="M529" s="3">
        <f t="shared" si="24"/>
        <v>4.632768361581921E-2</v>
      </c>
      <c r="N529" s="1">
        <v>1763</v>
      </c>
      <c r="O529" s="4">
        <f t="shared" si="25"/>
        <v>4.9661971830985916</v>
      </c>
      <c r="P529" s="1">
        <v>355</v>
      </c>
      <c r="Q529" s="1">
        <v>4264.5228288088401</v>
      </c>
      <c r="R529" s="1">
        <v>19149.157133299901</v>
      </c>
      <c r="S529" s="5">
        <f t="shared" si="26"/>
        <v>19148.157133299901</v>
      </c>
      <c r="T529" s="1">
        <v>1128</v>
      </c>
      <c r="U529" s="1">
        <v>62</v>
      </c>
      <c r="V529" s="1">
        <v>72</v>
      </c>
      <c r="W529" s="1">
        <v>701</v>
      </c>
      <c r="X529" s="1">
        <v>0.71259098793903497</v>
      </c>
    </row>
    <row r="530" spans="1:24" x14ac:dyDescent="0.3">
      <c r="A530" s="2">
        <v>45306</v>
      </c>
      <c r="B530" s="1" t="s">
        <v>34</v>
      </c>
      <c r="C530" s="1" t="s">
        <v>35</v>
      </c>
      <c r="D530" s="1" t="s">
        <v>19</v>
      </c>
      <c r="E530" s="1" t="s">
        <v>20</v>
      </c>
      <c r="F530" s="1">
        <v>29</v>
      </c>
      <c r="G530" s="1" t="str" cm="1">
        <f t="array" ref="G530">_xlfn.IFS(F530&lt;=25,"YOUTH",F530&lt;=48,"ADULT",TRUE,"SENIOR")</f>
        <v>ADULT</v>
      </c>
      <c r="H530" s="1" t="s">
        <v>29</v>
      </c>
      <c r="I530" s="1" t="s">
        <v>22</v>
      </c>
      <c r="J530" s="1" t="s">
        <v>23</v>
      </c>
      <c r="K530" s="1" t="s">
        <v>39</v>
      </c>
      <c r="L530" s="1">
        <v>28213</v>
      </c>
      <c r="M530" s="3">
        <f t="shared" si="24"/>
        <v>5.0933966611136708E-2</v>
      </c>
      <c r="N530" s="1">
        <v>1437</v>
      </c>
      <c r="O530" s="4">
        <f t="shared" si="25"/>
        <v>9.4539473684210531</v>
      </c>
      <c r="P530" s="1">
        <v>152</v>
      </c>
      <c r="Q530" s="1">
        <v>2161.4125516512399</v>
      </c>
      <c r="R530" s="1">
        <v>5876.3116844066199</v>
      </c>
      <c r="S530" s="5">
        <f t="shared" si="26"/>
        <v>5875.3116844066199</v>
      </c>
      <c r="T530" s="1">
        <v>528</v>
      </c>
      <c r="U530" s="1">
        <v>104</v>
      </c>
      <c r="V530" s="1">
        <v>19</v>
      </c>
      <c r="W530" s="1">
        <v>4551</v>
      </c>
      <c r="X530" s="1">
        <v>0.88967187000000003</v>
      </c>
    </row>
    <row r="531" spans="1:24" x14ac:dyDescent="0.3">
      <c r="A531" s="2">
        <v>45326</v>
      </c>
      <c r="B531" s="1" t="s">
        <v>17</v>
      </c>
      <c r="C531" s="1" t="s">
        <v>35</v>
      </c>
      <c r="D531" s="1" t="s">
        <v>32</v>
      </c>
      <c r="E531" s="1" t="s">
        <v>20</v>
      </c>
      <c r="F531" s="1">
        <v>42</v>
      </c>
      <c r="G531" s="1" t="str" cm="1">
        <f t="array" ref="G531">_xlfn.IFS(F531&lt;=25,"YOUTH",F531&lt;=48,"ADULT",TRUE,"SENIOR")</f>
        <v>ADULT</v>
      </c>
      <c r="H531" s="1" t="s">
        <v>42</v>
      </c>
      <c r="I531" s="1" t="s">
        <v>43</v>
      </c>
      <c r="J531" s="1" t="s">
        <v>30</v>
      </c>
      <c r="K531" s="1" t="s">
        <v>31</v>
      </c>
      <c r="L531" s="1">
        <v>5477</v>
      </c>
      <c r="M531" s="3">
        <f t="shared" si="24"/>
        <v>0.10863611466131094</v>
      </c>
      <c r="N531" s="1">
        <v>595</v>
      </c>
      <c r="O531" s="4">
        <f t="shared" si="25"/>
        <v>6.7613636363636367</v>
      </c>
      <c r="P531" s="1">
        <v>88</v>
      </c>
      <c r="Q531" s="1">
        <v>287.71788605046299</v>
      </c>
      <c r="R531" s="1">
        <v>5535.0647853804003</v>
      </c>
      <c r="S531" s="5">
        <f t="shared" si="26"/>
        <v>5534.0647853804003</v>
      </c>
      <c r="T531" s="1">
        <v>37</v>
      </c>
      <c r="U531" s="1">
        <v>4</v>
      </c>
      <c r="V531" s="1">
        <v>1</v>
      </c>
      <c r="W531" s="1">
        <v>467</v>
      </c>
      <c r="X531" s="1">
        <v>0.81318421660167906</v>
      </c>
    </row>
    <row r="532" spans="1:24" x14ac:dyDescent="0.3">
      <c r="A532" s="2">
        <v>45348</v>
      </c>
      <c r="B532" s="1" t="s">
        <v>40</v>
      </c>
      <c r="C532" s="1" t="s">
        <v>18</v>
      </c>
      <c r="D532" s="1" t="s">
        <v>32</v>
      </c>
      <c r="E532" s="1" t="s">
        <v>20</v>
      </c>
      <c r="F532" s="1">
        <v>38</v>
      </c>
      <c r="G532" s="1" t="str" cm="1">
        <f t="array" ref="G532">_xlfn.IFS(F532&lt;=25,"YOUTH",F532&lt;=48,"ADULT",TRUE,"SENIOR")</f>
        <v>ADULT</v>
      </c>
      <c r="H532" s="1" t="s">
        <v>42</v>
      </c>
      <c r="I532" s="1" t="s">
        <v>33</v>
      </c>
      <c r="J532" s="1" t="s">
        <v>30</v>
      </c>
      <c r="K532" s="1" t="s">
        <v>39</v>
      </c>
      <c r="L532" s="1">
        <v>7533</v>
      </c>
      <c r="M532" s="3">
        <f t="shared" si="24"/>
        <v>0.11283685118810567</v>
      </c>
      <c r="N532" s="1">
        <v>850</v>
      </c>
      <c r="O532" s="4">
        <f t="shared" si="25"/>
        <v>32.692307692307693</v>
      </c>
      <c r="P532" s="1">
        <v>26</v>
      </c>
      <c r="Q532" s="1">
        <v>823.37186232084503</v>
      </c>
      <c r="R532" s="1">
        <v>1123.89778502897</v>
      </c>
      <c r="S532" s="5">
        <f t="shared" si="26"/>
        <v>1122.89778502897</v>
      </c>
      <c r="T532" s="1">
        <v>139</v>
      </c>
      <c r="U532" s="1">
        <v>18</v>
      </c>
      <c r="V532" s="1">
        <v>12</v>
      </c>
      <c r="W532" s="1">
        <v>295</v>
      </c>
      <c r="X532" s="1">
        <v>0.93089402804092203</v>
      </c>
    </row>
    <row r="533" spans="1:24" x14ac:dyDescent="0.3">
      <c r="A533" s="2">
        <v>45343</v>
      </c>
      <c r="B533" s="1" t="s">
        <v>34</v>
      </c>
      <c r="C533" s="1" t="s">
        <v>35</v>
      </c>
      <c r="D533" s="1" t="s">
        <v>19</v>
      </c>
      <c r="E533" s="1" t="s">
        <v>28</v>
      </c>
      <c r="F533" s="1">
        <v>53</v>
      </c>
      <c r="G533" s="1" t="str" cm="1">
        <f t="array" ref="G533">_xlfn.IFS(F533&lt;=25,"YOUTH",F533&lt;=48,"ADULT",TRUE,"SENIOR")</f>
        <v>SENIOR</v>
      </c>
      <c r="H533" s="1" t="s">
        <v>21</v>
      </c>
      <c r="I533" s="1" t="s">
        <v>43</v>
      </c>
      <c r="J533" s="1" t="s">
        <v>23</v>
      </c>
      <c r="K533" s="1" t="s">
        <v>31</v>
      </c>
      <c r="L533" s="1">
        <v>24396</v>
      </c>
      <c r="M533" s="3">
        <f t="shared" si="24"/>
        <v>5.2467617642236432E-2</v>
      </c>
      <c r="N533" s="1">
        <v>1280</v>
      </c>
      <c r="O533" s="4">
        <f t="shared" si="25"/>
        <v>34.594594594594597</v>
      </c>
      <c r="P533" s="1">
        <v>37</v>
      </c>
      <c r="Q533" s="1">
        <v>2843.2536160044601</v>
      </c>
      <c r="R533" s="1">
        <v>2391.63071436171</v>
      </c>
      <c r="S533" s="5">
        <f t="shared" si="26"/>
        <v>2390.63071436171</v>
      </c>
      <c r="T533" s="1">
        <v>666</v>
      </c>
      <c r="U533" s="1">
        <v>94</v>
      </c>
      <c r="V533" s="1">
        <v>40</v>
      </c>
      <c r="W533" s="1">
        <v>4241</v>
      </c>
      <c r="X533" s="1">
        <v>0.92801789567009696</v>
      </c>
    </row>
    <row r="534" spans="1:24" x14ac:dyDescent="0.3">
      <c r="A534" s="2">
        <v>45296</v>
      </c>
      <c r="B534" s="1" t="s">
        <v>34</v>
      </c>
      <c r="C534" s="1" t="s">
        <v>26</v>
      </c>
      <c r="D534" s="1" t="s">
        <v>36</v>
      </c>
      <c r="E534" s="1" t="s">
        <v>28</v>
      </c>
      <c r="F534" s="1">
        <v>40</v>
      </c>
      <c r="G534" s="1" t="str" cm="1">
        <f t="array" ref="G534">_xlfn.IFS(F534&lt;=25,"YOUTH",F534&lt;=48,"ADULT",TRUE,"SENIOR")</f>
        <v>ADULT</v>
      </c>
      <c r="H534" s="1" t="s">
        <v>21</v>
      </c>
      <c r="I534" s="1" t="s">
        <v>22</v>
      </c>
      <c r="J534" s="1" t="s">
        <v>38</v>
      </c>
      <c r="K534" s="1" t="s">
        <v>31</v>
      </c>
      <c r="L534" s="1">
        <v>13755</v>
      </c>
      <c r="M534" s="3">
        <f t="shared" si="24"/>
        <v>5.830607051981098E-2</v>
      </c>
      <c r="N534" s="1">
        <v>802</v>
      </c>
      <c r="O534" s="4">
        <f t="shared" si="25"/>
        <v>12.935483870967742</v>
      </c>
      <c r="P534" s="1">
        <v>62</v>
      </c>
      <c r="Q534" s="1">
        <v>596.781602345701</v>
      </c>
      <c r="R534" s="1">
        <v>2512.4855050646402</v>
      </c>
      <c r="S534" s="5">
        <f t="shared" si="26"/>
        <v>2511.4855050646402</v>
      </c>
      <c r="T534" s="1">
        <v>302</v>
      </c>
      <c r="U534" s="1">
        <v>50</v>
      </c>
      <c r="V534" s="1">
        <v>12</v>
      </c>
      <c r="W534" s="1">
        <v>654</v>
      </c>
      <c r="X534" s="1">
        <v>0.524126801339871</v>
      </c>
    </row>
    <row r="535" spans="1:24" x14ac:dyDescent="0.3">
      <c r="A535" s="2">
        <v>45346</v>
      </c>
      <c r="B535" s="1" t="s">
        <v>25</v>
      </c>
      <c r="C535" s="1" t="s">
        <v>35</v>
      </c>
      <c r="D535" s="1" t="s">
        <v>32</v>
      </c>
      <c r="E535" s="1" t="s">
        <v>20</v>
      </c>
      <c r="F535" s="1">
        <v>33</v>
      </c>
      <c r="G535" s="1" t="str" cm="1">
        <f t="array" ref="G535">_xlfn.IFS(F535&lt;=25,"YOUTH",F535&lt;=48,"ADULT",TRUE,"SENIOR")</f>
        <v>ADULT</v>
      </c>
      <c r="H535" s="1" t="s">
        <v>21</v>
      </c>
      <c r="I535" s="1" t="s">
        <v>22</v>
      </c>
      <c r="J535" s="1" t="s">
        <v>38</v>
      </c>
      <c r="K535" s="1" t="s">
        <v>31</v>
      </c>
      <c r="L535" s="1">
        <v>1865</v>
      </c>
      <c r="M535" s="3">
        <f t="shared" si="24"/>
        <v>0.1485254691689008</v>
      </c>
      <c r="N535" s="1">
        <v>277</v>
      </c>
      <c r="O535" s="4">
        <f t="shared" si="25"/>
        <v>5.6530612244897958</v>
      </c>
      <c r="P535" s="1">
        <v>49</v>
      </c>
      <c r="Q535" s="1">
        <v>259.00711316452703</v>
      </c>
      <c r="R535" s="1">
        <v>1856.5003182186999</v>
      </c>
      <c r="S535" s="5">
        <f t="shared" si="26"/>
        <v>1855.5003182186999</v>
      </c>
      <c r="T535" s="1">
        <v>42</v>
      </c>
      <c r="U535" s="1">
        <v>7</v>
      </c>
      <c r="V535" s="1">
        <v>2</v>
      </c>
      <c r="W535" s="1">
        <v>344</v>
      </c>
      <c r="X535" s="1">
        <v>0.79894297954523197</v>
      </c>
    </row>
    <row r="536" spans="1:24" x14ac:dyDescent="0.3">
      <c r="A536" s="2">
        <v>45296</v>
      </c>
      <c r="B536" s="1" t="s">
        <v>34</v>
      </c>
      <c r="C536" s="1" t="s">
        <v>35</v>
      </c>
      <c r="D536" s="1" t="s">
        <v>27</v>
      </c>
      <c r="E536" s="1" t="s">
        <v>20</v>
      </c>
      <c r="F536" s="1">
        <v>56</v>
      </c>
      <c r="G536" s="1" t="str" cm="1">
        <f t="array" ref="G536">_xlfn.IFS(F536&lt;=25,"YOUTH",F536&lt;=48,"ADULT",TRUE,"SENIOR")</f>
        <v>SENIOR</v>
      </c>
      <c r="H536" s="1" t="s">
        <v>21</v>
      </c>
      <c r="I536" s="1" t="s">
        <v>37</v>
      </c>
      <c r="J536" s="1" t="s">
        <v>23</v>
      </c>
      <c r="K536" s="1" t="s">
        <v>31</v>
      </c>
      <c r="L536" s="1">
        <v>12173</v>
      </c>
      <c r="M536" s="3">
        <f t="shared" si="24"/>
        <v>2.4233960404173169E-2</v>
      </c>
      <c r="N536" s="1">
        <v>295</v>
      </c>
      <c r="O536" s="4">
        <f t="shared" si="25"/>
        <v>4.6825396825396828</v>
      </c>
      <c r="P536" s="1">
        <v>63</v>
      </c>
      <c r="Q536" s="1">
        <v>1432.1430020807099</v>
      </c>
      <c r="R536" s="1">
        <v>1225.5356136662299</v>
      </c>
      <c r="S536" s="5">
        <f t="shared" si="26"/>
        <v>1224.5356136662299</v>
      </c>
      <c r="T536" s="1">
        <v>86</v>
      </c>
      <c r="U536" s="1">
        <v>6</v>
      </c>
      <c r="V536" s="1">
        <v>3</v>
      </c>
      <c r="W536" s="1">
        <v>1143</v>
      </c>
      <c r="X536" s="1">
        <v>0.69178770025069103</v>
      </c>
    </row>
    <row r="537" spans="1:24" x14ac:dyDescent="0.3">
      <c r="A537" s="2">
        <v>45311</v>
      </c>
      <c r="B537" s="1" t="s">
        <v>40</v>
      </c>
      <c r="C537" s="1" t="s">
        <v>35</v>
      </c>
      <c r="D537" s="1" t="s">
        <v>36</v>
      </c>
      <c r="E537" s="1" t="s">
        <v>20</v>
      </c>
      <c r="F537" s="1">
        <v>59</v>
      </c>
      <c r="G537" s="1" t="str" cm="1">
        <f t="array" ref="G537">_xlfn.IFS(F537&lt;=25,"YOUTH",F537&lt;=48,"ADULT",TRUE,"SENIOR")</f>
        <v>SENIOR</v>
      </c>
      <c r="H537" s="1" t="s">
        <v>21</v>
      </c>
      <c r="I537" s="1" t="s">
        <v>22</v>
      </c>
      <c r="J537" s="1" t="s">
        <v>23</v>
      </c>
      <c r="K537" s="1" t="s">
        <v>39</v>
      </c>
      <c r="L537" s="1">
        <v>39097</v>
      </c>
      <c r="M537" s="3">
        <f t="shared" si="24"/>
        <v>6.6629153131953861E-2</v>
      </c>
      <c r="N537" s="1">
        <v>2605</v>
      </c>
      <c r="O537" s="4">
        <f t="shared" si="25"/>
        <v>6.7312661498708009</v>
      </c>
      <c r="P537" s="1">
        <v>387</v>
      </c>
      <c r="Q537" s="1">
        <v>5525.9236456939598</v>
      </c>
      <c r="R537" s="1">
        <v>15639.108282129801</v>
      </c>
      <c r="S537" s="5">
        <f t="shared" si="26"/>
        <v>15638.108282129801</v>
      </c>
      <c r="T537" s="1">
        <v>299</v>
      </c>
      <c r="U537" s="1">
        <v>25</v>
      </c>
      <c r="V537" s="1">
        <v>7</v>
      </c>
      <c r="W537" s="1">
        <v>5908</v>
      </c>
      <c r="X537" s="1">
        <v>0.51803109700000005</v>
      </c>
    </row>
    <row r="538" spans="1:24" x14ac:dyDescent="0.3">
      <c r="A538" s="2">
        <v>45306</v>
      </c>
      <c r="B538" s="1" t="s">
        <v>25</v>
      </c>
      <c r="C538" s="1" t="s">
        <v>35</v>
      </c>
      <c r="D538" s="1" t="s">
        <v>27</v>
      </c>
      <c r="E538" s="1" t="s">
        <v>20</v>
      </c>
      <c r="F538" s="1">
        <v>56</v>
      </c>
      <c r="G538" s="1" t="str" cm="1">
        <f t="array" ref="G538">_xlfn.IFS(F538&lt;=25,"YOUTH",F538&lt;=48,"ADULT",TRUE,"SENIOR")</f>
        <v>SENIOR</v>
      </c>
      <c r="H538" s="1" t="s">
        <v>21</v>
      </c>
      <c r="I538" s="1" t="s">
        <v>22</v>
      </c>
      <c r="J538" s="1" t="s">
        <v>23</v>
      </c>
      <c r="K538" s="1" t="s">
        <v>31</v>
      </c>
      <c r="L538" s="1">
        <v>34371</v>
      </c>
      <c r="M538" s="3">
        <f t="shared" si="24"/>
        <v>1.8736725728084724E-2</v>
      </c>
      <c r="N538" s="1">
        <v>644</v>
      </c>
      <c r="O538" s="4">
        <f t="shared" si="25"/>
        <v>7.0769230769230766</v>
      </c>
      <c r="P538" s="1">
        <v>91</v>
      </c>
      <c r="Q538" s="1">
        <v>2104.1760682764798</v>
      </c>
      <c r="R538" s="1">
        <v>1286.5592768372201</v>
      </c>
      <c r="S538" s="5">
        <f t="shared" si="26"/>
        <v>1285.5592768372201</v>
      </c>
      <c r="T538" s="1">
        <v>281</v>
      </c>
      <c r="U538" s="1">
        <v>51</v>
      </c>
      <c r="V538" s="1">
        <v>6</v>
      </c>
      <c r="W538" s="1">
        <v>3915</v>
      </c>
      <c r="X538" s="1">
        <v>0.50717799521956997</v>
      </c>
    </row>
    <row r="539" spans="1:24" x14ac:dyDescent="0.3">
      <c r="A539" s="2">
        <v>45309</v>
      </c>
      <c r="B539" s="1" t="s">
        <v>25</v>
      </c>
      <c r="C539" s="1" t="s">
        <v>41</v>
      </c>
      <c r="D539" s="1" t="s">
        <v>36</v>
      </c>
      <c r="E539" s="1" t="s">
        <v>20</v>
      </c>
      <c r="F539" s="1">
        <v>31</v>
      </c>
      <c r="G539" s="1" t="str" cm="1">
        <f t="array" ref="G539">_xlfn.IFS(F539&lt;=25,"YOUTH",F539&lt;=48,"ADULT",TRUE,"SENIOR")</f>
        <v>ADULT</v>
      </c>
      <c r="H539" s="1" t="s">
        <v>21</v>
      </c>
      <c r="I539" s="1" t="s">
        <v>33</v>
      </c>
      <c r="J539" s="1" t="s">
        <v>38</v>
      </c>
      <c r="K539" s="1" t="s">
        <v>24</v>
      </c>
      <c r="L539" s="1">
        <v>39524</v>
      </c>
      <c r="M539" s="3">
        <f t="shared" si="24"/>
        <v>0.12493674729278413</v>
      </c>
      <c r="N539" s="1">
        <v>4938</v>
      </c>
      <c r="O539" s="4">
        <f t="shared" si="25"/>
        <v>8.8972972972972979</v>
      </c>
      <c r="P539" s="1">
        <v>555</v>
      </c>
      <c r="Q539" s="1">
        <v>5616.8960310893499</v>
      </c>
      <c r="R539" s="1">
        <v>34149.074010438097</v>
      </c>
      <c r="S539" s="5">
        <f t="shared" si="26"/>
        <v>34148.074010438097</v>
      </c>
      <c r="T539" s="1">
        <v>1091</v>
      </c>
      <c r="U539" s="1">
        <v>188</v>
      </c>
      <c r="V539" s="1">
        <v>104</v>
      </c>
      <c r="W539" s="1">
        <v>2322</v>
      </c>
      <c r="X539" s="1">
        <v>0.44459638769645698</v>
      </c>
    </row>
    <row r="540" spans="1:24" x14ac:dyDescent="0.3">
      <c r="A540" s="2">
        <v>45338</v>
      </c>
      <c r="B540" s="1" t="s">
        <v>40</v>
      </c>
      <c r="C540" s="1" t="s">
        <v>35</v>
      </c>
      <c r="D540" s="1" t="s">
        <v>19</v>
      </c>
      <c r="E540" s="1" t="s">
        <v>20</v>
      </c>
      <c r="F540" s="1">
        <v>48</v>
      </c>
      <c r="G540" s="1" t="str" cm="1">
        <f t="array" ref="G540">_xlfn.IFS(F540&lt;=25,"YOUTH",F540&lt;=48,"ADULT",TRUE,"SENIOR")</f>
        <v>ADULT</v>
      </c>
      <c r="H540" s="1" t="s">
        <v>21</v>
      </c>
      <c r="I540" s="1" t="s">
        <v>37</v>
      </c>
      <c r="J540" s="1" t="s">
        <v>30</v>
      </c>
      <c r="K540" s="1" t="s">
        <v>39</v>
      </c>
      <c r="L540" s="1">
        <v>12254</v>
      </c>
      <c r="M540" s="3">
        <f t="shared" si="24"/>
        <v>2.2849681736575811E-2</v>
      </c>
      <c r="N540" s="1">
        <v>280</v>
      </c>
      <c r="O540" s="4">
        <f t="shared" si="25"/>
        <v>17.5</v>
      </c>
      <c r="P540" s="1">
        <v>16</v>
      </c>
      <c r="Q540" s="1">
        <v>832.135999289697</v>
      </c>
      <c r="R540" s="1">
        <v>782.92756425662503</v>
      </c>
      <c r="S540" s="5">
        <f t="shared" si="26"/>
        <v>781.92756425662503</v>
      </c>
      <c r="T540" s="1">
        <v>222</v>
      </c>
      <c r="U540" s="1">
        <v>31</v>
      </c>
      <c r="V540" s="1">
        <v>17</v>
      </c>
      <c r="W540" s="1">
        <v>1685</v>
      </c>
      <c r="X540" s="1">
        <v>0.83754990203027802</v>
      </c>
    </row>
    <row r="541" spans="1:24" x14ac:dyDescent="0.3">
      <c r="A541" s="2">
        <v>45293</v>
      </c>
      <c r="B541" s="1" t="s">
        <v>17</v>
      </c>
      <c r="C541" s="1" t="s">
        <v>26</v>
      </c>
      <c r="D541" s="1" t="s">
        <v>27</v>
      </c>
      <c r="E541" s="1" t="s">
        <v>28</v>
      </c>
      <c r="F541" s="1">
        <v>22</v>
      </c>
      <c r="G541" s="1" t="str" cm="1">
        <f t="array" ref="G541">_xlfn.IFS(F541&lt;=25,"YOUTH",F541&lt;=48,"ADULT",TRUE,"SENIOR")</f>
        <v>YOUTH</v>
      </c>
      <c r="H541" s="1" t="s">
        <v>21</v>
      </c>
      <c r="I541" s="1" t="s">
        <v>33</v>
      </c>
      <c r="J541" s="1" t="s">
        <v>38</v>
      </c>
      <c r="K541" s="1" t="s">
        <v>31</v>
      </c>
      <c r="L541" s="1">
        <v>5018</v>
      </c>
      <c r="M541" s="3">
        <f t="shared" si="24"/>
        <v>0.10422479075328817</v>
      </c>
      <c r="N541" s="1">
        <v>523</v>
      </c>
      <c r="O541" s="4">
        <f t="shared" si="25"/>
        <v>21.791666666666668</v>
      </c>
      <c r="P541" s="1">
        <v>24</v>
      </c>
      <c r="Q541" s="1">
        <v>135.56663416954399</v>
      </c>
      <c r="R541" s="1">
        <v>1670.0712996489799</v>
      </c>
      <c r="S541" s="5">
        <f t="shared" si="26"/>
        <v>1669.0712996489799</v>
      </c>
      <c r="T541" s="1">
        <v>124</v>
      </c>
      <c r="U541" s="1">
        <v>24</v>
      </c>
      <c r="V541" s="1">
        <v>10</v>
      </c>
      <c r="W541" s="1">
        <v>963</v>
      </c>
      <c r="X541" s="1">
        <v>0.578477629341005</v>
      </c>
    </row>
    <row r="542" spans="1:24" x14ac:dyDescent="0.3">
      <c r="A542" s="2">
        <v>45320</v>
      </c>
      <c r="B542" s="1" t="s">
        <v>34</v>
      </c>
      <c r="C542" s="1" t="s">
        <v>26</v>
      </c>
      <c r="D542" s="1" t="s">
        <v>27</v>
      </c>
      <c r="E542" s="1" t="s">
        <v>20</v>
      </c>
      <c r="F542" s="1">
        <v>52</v>
      </c>
      <c r="G542" s="1" t="str" cm="1">
        <f t="array" ref="G542">_xlfn.IFS(F542&lt;=25,"YOUTH",F542&lt;=48,"ADULT",TRUE,"SENIOR")</f>
        <v>SENIOR</v>
      </c>
      <c r="H542" s="1" t="s">
        <v>29</v>
      </c>
      <c r="I542" s="1" t="s">
        <v>43</v>
      </c>
      <c r="J542" s="1" t="s">
        <v>38</v>
      </c>
      <c r="K542" s="1" t="s">
        <v>39</v>
      </c>
      <c r="L542" s="1">
        <v>6192</v>
      </c>
      <c r="M542" s="3">
        <f t="shared" si="24"/>
        <v>1.776485788113695E-2</v>
      </c>
      <c r="N542" s="1">
        <v>110</v>
      </c>
      <c r="O542" s="4">
        <f t="shared" si="25"/>
        <v>5.2380952380952381</v>
      </c>
      <c r="P542" s="1">
        <v>21</v>
      </c>
      <c r="Q542" s="1">
        <v>737.99983913521498</v>
      </c>
      <c r="R542" s="1">
        <v>230.71298893406399</v>
      </c>
      <c r="S542" s="5">
        <f t="shared" si="26"/>
        <v>229.71298893406399</v>
      </c>
      <c r="T542" s="1">
        <v>48</v>
      </c>
      <c r="U542" s="1">
        <v>7</v>
      </c>
      <c r="V542" s="1">
        <v>4</v>
      </c>
      <c r="W542" s="1">
        <v>967</v>
      </c>
      <c r="X542" s="1">
        <v>0.87133285943093097</v>
      </c>
    </row>
    <row r="543" spans="1:24" x14ac:dyDescent="0.3">
      <c r="A543" s="2">
        <v>45304</v>
      </c>
      <c r="B543" s="1" t="s">
        <v>25</v>
      </c>
      <c r="C543" s="1" t="s">
        <v>35</v>
      </c>
      <c r="D543" s="1" t="s">
        <v>19</v>
      </c>
      <c r="E543" s="1" t="s">
        <v>20</v>
      </c>
      <c r="F543" s="1">
        <v>40</v>
      </c>
      <c r="G543" s="1" t="str" cm="1">
        <f t="array" ref="G543">_xlfn.IFS(F543&lt;=25,"YOUTH",F543&lt;=48,"ADULT",TRUE,"SENIOR")</f>
        <v>ADULT</v>
      </c>
      <c r="H543" s="1" t="s">
        <v>29</v>
      </c>
      <c r="I543" s="1" t="s">
        <v>22</v>
      </c>
      <c r="J543" s="1" t="s">
        <v>23</v>
      </c>
      <c r="K543" s="1" t="s">
        <v>24</v>
      </c>
      <c r="L543" s="1">
        <v>3015</v>
      </c>
      <c r="M543" s="3">
        <f t="shared" si="24"/>
        <v>0.10414593698175788</v>
      </c>
      <c r="N543" s="1">
        <v>314</v>
      </c>
      <c r="O543" s="4">
        <f t="shared" si="25"/>
        <v>4.3013698630136989</v>
      </c>
      <c r="P543" s="1">
        <v>73</v>
      </c>
      <c r="Q543" s="1">
        <v>336.040017075425</v>
      </c>
      <c r="R543" s="1">
        <v>1506.9921980158799</v>
      </c>
      <c r="S543" s="5">
        <f t="shared" si="26"/>
        <v>1505.9921980158799</v>
      </c>
      <c r="T543" s="1">
        <v>84</v>
      </c>
      <c r="U543" s="1">
        <v>6</v>
      </c>
      <c r="V543" s="1">
        <v>7</v>
      </c>
      <c r="W543" s="1">
        <v>376</v>
      </c>
      <c r="X543" s="1">
        <v>0.73457345100000004</v>
      </c>
    </row>
    <row r="544" spans="1:24" x14ac:dyDescent="0.3">
      <c r="A544" s="2">
        <v>45295</v>
      </c>
      <c r="B544" s="1" t="s">
        <v>17</v>
      </c>
      <c r="C544" s="1" t="s">
        <v>18</v>
      </c>
      <c r="D544" s="1" t="s">
        <v>27</v>
      </c>
      <c r="E544" s="1" t="s">
        <v>20</v>
      </c>
      <c r="F544" s="1">
        <v>46</v>
      </c>
      <c r="G544" s="1" t="str" cm="1">
        <f t="array" ref="G544">_xlfn.IFS(F544&lt;=25,"YOUTH",F544&lt;=48,"ADULT",TRUE,"SENIOR")</f>
        <v>ADULT</v>
      </c>
      <c r="H544" s="1" t="s">
        <v>29</v>
      </c>
      <c r="I544" s="1" t="s">
        <v>43</v>
      </c>
      <c r="J544" s="1" t="s">
        <v>38</v>
      </c>
      <c r="K544" s="1" t="s">
        <v>39</v>
      </c>
      <c r="L544" s="1">
        <v>43618</v>
      </c>
      <c r="M544" s="3">
        <f t="shared" si="24"/>
        <v>0.12802054197808244</v>
      </c>
      <c r="N544" s="1">
        <v>5584</v>
      </c>
      <c r="O544" s="4">
        <f t="shared" si="25"/>
        <v>7.9771428571428569</v>
      </c>
      <c r="P544" s="1">
        <v>700</v>
      </c>
      <c r="Q544" s="1">
        <v>4262.7186158704599</v>
      </c>
      <c r="R544" s="1">
        <v>43410.7164941093</v>
      </c>
      <c r="S544" s="5">
        <f t="shared" si="26"/>
        <v>43409.7164941093</v>
      </c>
      <c r="T544" s="1">
        <v>1113</v>
      </c>
      <c r="U544" s="1">
        <v>196</v>
      </c>
      <c r="V544" s="1">
        <v>87</v>
      </c>
      <c r="W544" s="1">
        <v>8645</v>
      </c>
      <c r="X544" s="1">
        <v>0.77049834516115301</v>
      </c>
    </row>
    <row r="545" spans="1:24" x14ac:dyDescent="0.3">
      <c r="A545" s="2">
        <v>45333</v>
      </c>
      <c r="B545" s="1" t="s">
        <v>40</v>
      </c>
      <c r="C545" s="1" t="s">
        <v>41</v>
      </c>
      <c r="D545" s="1" t="s">
        <v>36</v>
      </c>
      <c r="E545" s="1" t="s">
        <v>28</v>
      </c>
      <c r="F545" s="1">
        <v>28</v>
      </c>
      <c r="G545" s="1" t="str" cm="1">
        <f t="array" ref="G545">_xlfn.IFS(F545&lt;=25,"YOUTH",F545&lt;=48,"ADULT",TRUE,"SENIOR")</f>
        <v>ADULT</v>
      </c>
      <c r="H545" s="1" t="s">
        <v>21</v>
      </c>
      <c r="I545" s="1" t="s">
        <v>33</v>
      </c>
      <c r="J545" s="1" t="s">
        <v>38</v>
      </c>
      <c r="K545" s="1" t="s">
        <v>31</v>
      </c>
      <c r="L545" s="1">
        <v>4380</v>
      </c>
      <c r="M545" s="3">
        <f t="shared" si="24"/>
        <v>6.575342465753424E-2</v>
      </c>
      <c r="N545" s="1">
        <v>288</v>
      </c>
      <c r="O545" s="4">
        <f t="shared" si="25"/>
        <v>5.8775510204081636</v>
      </c>
      <c r="P545" s="1">
        <v>49</v>
      </c>
      <c r="Q545" s="1">
        <v>366.54549805234802</v>
      </c>
      <c r="R545" s="1">
        <v>1503.8843077639999</v>
      </c>
      <c r="S545" s="5">
        <f t="shared" si="26"/>
        <v>1502.8843077639999</v>
      </c>
      <c r="T545" s="1">
        <v>46</v>
      </c>
      <c r="U545" s="1">
        <v>5</v>
      </c>
      <c r="V545" s="1">
        <v>3</v>
      </c>
      <c r="W545" s="1">
        <v>264</v>
      </c>
      <c r="X545" s="1">
        <v>0.56042056228560799</v>
      </c>
    </row>
    <row r="546" spans="1:24" x14ac:dyDescent="0.3">
      <c r="A546" s="2">
        <v>45336</v>
      </c>
      <c r="B546" s="1" t="s">
        <v>34</v>
      </c>
      <c r="C546" s="1" t="s">
        <v>35</v>
      </c>
      <c r="D546" s="1" t="s">
        <v>32</v>
      </c>
      <c r="E546" s="1" t="s">
        <v>28</v>
      </c>
      <c r="F546" s="1">
        <v>35</v>
      </c>
      <c r="G546" s="1" t="str" cm="1">
        <f t="array" ref="G546">_xlfn.IFS(F546&lt;=25,"YOUTH",F546&lt;=48,"ADULT",TRUE,"SENIOR")</f>
        <v>ADULT</v>
      </c>
      <c r="H546" s="1" t="s">
        <v>21</v>
      </c>
      <c r="I546" s="1" t="s">
        <v>22</v>
      </c>
      <c r="J546" s="1" t="s">
        <v>23</v>
      </c>
      <c r="K546" s="1" t="s">
        <v>24</v>
      </c>
      <c r="L546" s="1">
        <v>29343</v>
      </c>
      <c r="M546" s="3">
        <f t="shared" si="24"/>
        <v>8.3086255665746511E-2</v>
      </c>
      <c r="N546" s="1">
        <v>2438</v>
      </c>
      <c r="O546" s="4">
        <f t="shared" si="25"/>
        <v>4.3458110516934045</v>
      </c>
      <c r="P546" s="1">
        <v>561</v>
      </c>
      <c r="Q546" s="1">
        <v>709.55731852000599</v>
      </c>
      <c r="R546" s="1">
        <v>19808.738529689799</v>
      </c>
      <c r="S546" s="5">
        <f t="shared" si="26"/>
        <v>19807.738529689799</v>
      </c>
      <c r="T546" s="1">
        <v>787</v>
      </c>
      <c r="U546" s="1">
        <v>43</v>
      </c>
      <c r="V546" s="1">
        <v>36</v>
      </c>
      <c r="W546" s="1">
        <v>640</v>
      </c>
      <c r="X546" s="1">
        <v>0.65151185366762498</v>
      </c>
    </row>
    <row r="547" spans="1:24" x14ac:dyDescent="0.3">
      <c r="A547" s="2">
        <v>45301</v>
      </c>
      <c r="B547" s="1" t="s">
        <v>34</v>
      </c>
      <c r="C547" s="1" t="s">
        <v>35</v>
      </c>
      <c r="D547" s="1" t="s">
        <v>32</v>
      </c>
      <c r="E547" s="1" t="s">
        <v>28</v>
      </c>
      <c r="F547" s="1">
        <v>29</v>
      </c>
      <c r="G547" s="1" t="str" cm="1">
        <f t="array" ref="G547">_xlfn.IFS(F547&lt;=25,"YOUTH",F547&lt;=48,"ADULT",TRUE,"SENIOR")</f>
        <v>ADULT</v>
      </c>
      <c r="H547" s="1" t="s">
        <v>21</v>
      </c>
      <c r="I547" s="1" t="s">
        <v>22</v>
      </c>
      <c r="J547" s="1" t="s">
        <v>23</v>
      </c>
      <c r="K547" s="1" t="s">
        <v>39</v>
      </c>
      <c r="L547" s="1">
        <v>4770</v>
      </c>
      <c r="M547" s="3">
        <f t="shared" si="24"/>
        <v>6.6037735849056603E-2</v>
      </c>
      <c r="N547" s="1">
        <v>315</v>
      </c>
      <c r="O547" s="4">
        <f t="shared" si="25"/>
        <v>26.25</v>
      </c>
      <c r="P547" s="1">
        <v>12</v>
      </c>
      <c r="Q547" s="1">
        <v>482.712755667647</v>
      </c>
      <c r="R547" s="1">
        <v>731.30847216234099</v>
      </c>
      <c r="S547" s="5">
        <f t="shared" si="26"/>
        <v>730.30847216234099</v>
      </c>
      <c r="T547" s="1">
        <v>55</v>
      </c>
      <c r="U547" s="1">
        <v>5</v>
      </c>
      <c r="V547" s="1">
        <v>1</v>
      </c>
      <c r="W547" s="1">
        <v>76</v>
      </c>
      <c r="X547" s="1">
        <v>0.62677466794571801</v>
      </c>
    </row>
    <row r="548" spans="1:24" x14ac:dyDescent="0.3">
      <c r="A548" s="2">
        <v>45322</v>
      </c>
      <c r="B548" s="1" t="s">
        <v>25</v>
      </c>
      <c r="C548" s="1" t="s">
        <v>35</v>
      </c>
      <c r="D548" s="1" t="s">
        <v>19</v>
      </c>
      <c r="E548" s="1" t="s">
        <v>28</v>
      </c>
      <c r="F548" s="1">
        <v>26</v>
      </c>
      <c r="G548" s="1" t="str" cm="1">
        <f t="array" ref="G548">_xlfn.IFS(F548&lt;=25,"YOUTH",F548&lt;=48,"ADULT",TRUE,"SENIOR")</f>
        <v>ADULT</v>
      </c>
      <c r="H548" s="1" t="s">
        <v>21</v>
      </c>
      <c r="I548" s="1" t="s">
        <v>33</v>
      </c>
      <c r="J548" s="1" t="s">
        <v>38</v>
      </c>
      <c r="K548" s="1" t="s">
        <v>31</v>
      </c>
      <c r="L548" s="1">
        <v>6829</v>
      </c>
      <c r="M548" s="3">
        <f t="shared" si="24"/>
        <v>5.1984185092985795E-2</v>
      </c>
      <c r="N548" s="1">
        <v>355</v>
      </c>
      <c r="O548" s="4">
        <f t="shared" si="25"/>
        <v>5.0714285714285712</v>
      </c>
      <c r="P548" s="1">
        <v>70</v>
      </c>
      <c r="Q548" s="1">
        <v>506.63326635633899</v>
      </c>
      <c r="R548" s="1">
        <v>2724.2956735222801</v>
      </c>
      <c r="S548" s="5">
        <f t="shared" si="26"/>
        <v>2723.2956735222801</v>
      </c>
      <c r="T548" s="1">
        <v>69</v>
      </c>
      <c r="U548" s="1">
        <v>11</v>
      </c>
      <c r="V548" s="1">
        <v>4</v>
      </c>
      <c r="W548" s="1">
        <v>990</v>
      </c>
      <c r="X548" s="1">
        <v>0.52962876515852997</v>
      </c>
    </row>
    <row r="549" spans="1:24" x14ac:dyDescent="0.3">
      <c r="A549" s="2">
        <v>45332</v>
      </c>
      <c r="B549" s="1" t="s">
        <v>34</v>
      </c>
      <c r="C549" s="1" t="s">
        <v>18</v>
      </c>
      <c r="D549" s="1" t="s">
        <v>36</v>
      </c>
      <c r="E549" s="1" t="s">
        <v>20</v>
      </c>
      <c r="F549" s="1">
        <v>27</v>
      </c>
      <c r="G549" s="1" t="str" cm="1">
        <f t="array" ref="G549">_xlfn.IFS(F549&lt;=25,"YOUTH",F549&lt;=48,"ADULT",TRUE,"SENIOR")</f>
        <v>ADULT</v>
      </c>
      <c r="H549" s="1" t="s">
        <v>21</v>
      </c>
      <c r="I549" s="1" t="s">
        <v>33</v>
      </c>
      <c r="J549" s="1" t="s">
        <v>23</v>
      </c>
      <c r="K549" s="1" t="s">
        <v>31</v>
      </c>
      <c r="L549" s="1">
        <v>35381</v>
      </c>
      <c r="M549" s="3">
        <f t="shared" si="24"/>
        <v>0.12243859698708347</v>
      </c>
      <c r="N549" s="1">
        <v>4332</v>
      </c>
      <c r="O549" s="4">
        <f t="shared" si="25"/>
        <v>6.1797432239657635</v>
      </c>
      <c r="P549" s="1">
        <v>701</v>
      </c>
      <c r="Q549" s="1">
        <v>3284.3199541890499</v>
      </c>
      <c r="R549" s="1">
        <v>12320.7270785656</v>
      </c>
      <c r="S549" s="5">
        <f t="shared" si="26"/>
        <v>12319.7270785656</v>
      </c>
      <c r="T549" s="1">
        <v>410</v>
      </c>
      <c r="U549" s="1">
        <v>79</v>
      </c>
      <c r="V549" s="1">
        <v>27</v>
      </c>
      <c r="W549" s="1">
        <v>5934</v>
      </c>
      <c r="X549" s="1">
        <v>0.85788169268973502</v>
      </c>
    </row>
    <row r="550" spans="1:24" x14ac:dyDescent="0.3">
      <c r="A550" s="2">
        <v>45299</v>
      </c>
      <c r="B550" s="1" t="s">
        <v>34</v>
      </c>
      <c r="C550" s="1" t="s">
        <v>18</v>
      </c>
      <c r="D550" s="1" t="s">
        <v>27</v>
      </c>
      <c r="E550" s="1" t="s">
        <v>28</v>
      </c>
      <c r="F550" s="1">
        <v>34</v>
      </c>
      <c r="G550" s="1" t="str" cm="1">
        <f t="array" ref="G550">_xlfn.IFS(F550&lt;=25,"YOUTH",F550&lt;=48,"ADULT",TRUE,"SENIOR")</f>
        <v>ADULT</v>
      </c>
      <c r="H550" s="1" t="s">
        <v>29</v>
      </c>
      <c r="I550" s="1" t="s">
        <v>33</v>
      </c>
      <c r="J550" s="1" t="s">
        <v>38</v>
      </c>
      <c r="K550" s="1" t="s">
        <v>39</v>
      </c>
      <c r="L550" s="1">
        <v>46915</v>
      </c>
      <c r="M550" s="3">
        <f t="shared" si="24"/>
        <v>4.8065650644783117E-2</v>
      </c>
      <c r="N550" s="1">
        <v>2255</v>
      </c>
      <c r="O550" s="4">
        <f t="shared" si="25"/>
        <v>6.352112676056338</v>
      </c>
      <c r="P550" s="1">
        <v>355</v>
      </c>
      <c r="Q550" s="1">
        <v>3556.7093985935098</v>
      </c>
      <c r="R550" s="1">
        <v>22358.5949130806</v>
      </c>
      <c r="S550" s="5">
        <f t="shared" si="26"/>
        <v>22357.5949130806</v>
      </c>
      <c r="T550" s="1">
        <v>1301</v>
      </c>
      <c r="U550" s="1">
        <v>118</v>
      </c>
      <c r="V550" s="1">
        <v>125</v>
      </c>
      <c r="W550" s="1">
        <v>6130</v>
      </c>
      <c r="X550" s="1">
        <v>0.74214647819364099</v>
      </c>
    </row>
    <row r="551" spans="1:24" x14ac:dyDescent="0.3">
      <c r="A551" s="2">
        <v>45294</v>
      </c>
      <c r="B551" s="1" t="s">
        <v>34</v>
      </c>
      <c r="C551" s="1" t="s">
        <v>18</v>
      </c>
      <c r="D551" s="1" t="s">
        <v>27</v>
      </c>
      <c r="E551" s="1" t="s">
        <v>20</v>
      </c>
      <c r="F551" s="1">
        <v>55</v>
      </c>
      <c r="G551" s="1" t="str" cm="1">
        <f t="array" ref="G551">_xlfn.IFS(F551&lt;=25,"YOUTH",F551&lt;=48,"ADULT",TRUE,"SENIOR")</f>
        <v>SENIOR</v>
      </c>
      <c r="H551" s="1" t="s">
        <v>21</v>
      </c>
      <c r="I551" s="1" t="s">
        <v>33</v>
      </c>
      <c r="J551" s="1" t="s">
        <v>23</v>
      </c>
      <c r="K551" s="1" t="s">
        <v>31</v>
      </c>
      <c r="L551" s="1">
        <v>16545</v>
      </c>
      <c r="M551" s="3">
        <f t="shared" si="24"/>
        <v>0.11121184647929888</v>
      </c>
      <c r="N551" s="1">
        <v>1840</v>
      </c>
      <c r="O551" s="4">
        <f t="shared" si="25"/>
        <v>11.5</v>
      </c>
      <c r="P551" s="1">
        <v>160</v>
      </c>
      <c r="Q551" s="1">
        <v>2408.7418331580202</v>
      </c>
      <c r="R551" s="1">
        <v>1123.04122679954</v>
      </c>
      <c r="S551" s="5">
        <f t="shared" si="26"/>
        <v>1122.04122679954</v>
      </c>
      <c r="T551" s="1">
        <v>461</v>
      </c>
      <c r="U551" s="1">
        <v>40</v>
      </c>
      <c r="V551" s="1">
        <v>25</v>
      </c>
      <c r="W551" s="1">
        <v>3010</v>
      </c>
      <c r="X551" s="1">
        <v>0.42058758759918802</v>
      </c>
    </row>
    <row r="552" spans="1:24" x14ac:dyDescent="0.3">
      <c r="A552" s="2">
        <v>45339</v>
      </c>
      <c r="B552" s="1" t="s">
        <v>34</v>
      </c>
      <c r="C552" s="1" t="s">
        <v>41</v>
      </c>
      <c r="D552" s="1" t="s">
        <v>32</v>
      </c>
      <c r="E552" s="1" t="s">
        <v>20</v>
      </c>
      <c r="F552" s="1">
        <v>24</v>
      </c>
      <c r="G552" s="1" t="str" cm="1">
        <f t="array" ref="G552">_xlfn.IFS(F552&lt;=25,"YOUTH",F552&lt;=48,"ADULT",TRUE,"SENIOR")</f>
        <v>YOUTH</v>
      </c>
      <c r="H552" s="1" t="s">
        <v>21</v>
      </c>
      <c r="I552" s="1" t="s">
        <v>33</v>
      </c>
      <c r="J552" s="1" t="s">
        <v>23</v>
      </c>
      <c r="K552" s="1" t="s">
        <v>24</v>
      </c>
      <c r="L552" s="1">
        <v>19263</v>
      </c>
      <c r="M552" s="3">
        <f t="shared" si="24"/>
        <v>3.8830919379120594E-2</v>
      </c>
      <c r="N552" s="1">
        <v>748</v>
      </c>
      <c r="O552" s="4">
        <f t="shared" si="25"/>
        <v>5.666666666666667</v>
      </c>
      <c r="P552" s="1">
        <v>132</v>
      </c>
      <c r="Q552" s="1">
        <v>1898.0634691729399</v>
      </c>
      <c r="R552" s="1">
        <v>8342.4999763807391</v>
      </c>
      <c r="S552" s="5">
        <f t="shared" si="26"/>
        <v>8341.4999763807391</v>
      </c>
      <c r="T552" s="1">
        <v>254</v>
      </c>
      <c r="U552" s="1">
        <v>34</v>
      </c>
      <c r="V552" s="1">
        <v>19</v>
      </c>
      <c r="W552" s="1">
        <v>2747</v>
      </c>
      <c r="X552" s="1">
        <v>0.85095436065827801</v>
      </c>
    </row>
    <row r="553" spans="1:24" x14ac:dyDescent="0.3">
      <c r="A553" s="2">
        <v>45337</v>
      </c>
      <c r="B553" s="1" t="s">
        <v>40</v>
      </c>
      <c r="C553" s="1" t="s">
        <v>26</v>
      </c>
      <c r="D553" s="1" t="s">
        <v>27</v>
      </c>
      <c r="E553" s="1" t="s">
        <v>20</v>
      </c>
      <c r="F553" s="1">
        <v>30</v>
      </c>
      <c r="G553" s="1" t="str" cm="1">
        <f t="array" ref="G553">_xlfn.IFS(F553&lt;=25,"YOUTH",F553&lt;=48,"ADULT",TRUE,"SENIOR")</f>
        <v>ADULT</v>
      </c>
      <c r="H553" s="1" t="s">
        <v>21</v>
      </c>
      <c r="I553" s="1" t="s">
        <v>22</v>
      </c>
      <c r="J553" s="1" t="s">
        <v>38</v>
      </c>
      <c r="K553" s="1" t="s">
        <v>31</v>
      </c>
      <c r="L553" s="1">
        <v>39140</v>
      </c>
      <c r="M553" s="3">
        <f t="shared" si="24"/>
        <v>4.4966785896780784E-2</v>
      </c>
      <c r="N553" s="1">
        <v>1760</v>
      </c>
      <c r="O553" s="4">
        <f t="shared" si="25"/>
        <v>4.9438202247191008</v>
      </c>
      <c r="P553" s="1">
        <v>356</v>
      </c>
      <c r="Q553" s="1">
        <v>4595.0642973714703</v>
      </c>
      <c r="R553" s="1">
        <v>2949.0380451978199</v>
      </c>
      <c r="S553" s="5">
        <f t="shared" si="26"/>
        <v>2948.0380451978199</v>
      </c>
      <c r="T553" s="1">
        <v>885</v>
      </c>
      <c r="U553" s="1">
        <v>152</v>
      </c>
      <c r="V553" s="1">
        <v>58</v>
      </c>
      <c r="W553" s="1">
        <v>3150</v>
      </c>
      <c r="X553" s="1">
        <v>0.45832076581572501</v>
      </c>
    </row>
    <row r="554" spans="1:24" x14ac:dyDescent="0.3">
      <c r="A554" s="2">
        <v>45300</v>
      </c>
      <c r="B554" s="1" t="s">
        <v>17</v>
      </c>
      <c r="C554" s="1" t="s">
        <v>41</v>
      </c>
      <c r="D554" s="1" t="s">
        <v>32</v>
      </c>
      <c r="E554" s="1" t="s">
        <v>20</v>
      </c>
      <c r="F554" s="1">
        <v>57</v>
      </c>
      <c r="G554" s="1" t="str" cm="1">
        <f t="array" ref="G554">_xlfn.IFS(F554&lt;=25,"YOUTH",F554&lt;=48,"ADULT",TRUE,"SENIOR")</f>
        <v>SENIOR</v>
      </c>
      <c r="H554" s="1" t="s">
        <v>29</v>
      </c>
      <c r="I554" s="1" t="s">
        <v>33</v>
      </c>
      <c r="J554" s="1" t="s">
        <v>23</v>
      </c>
      <c r="K554" s="1" t="s">
        <v>24</v>
      </c>
      <c r="L554" s="1">
        <v>44306</v>
      </c>
      <c r="M554" s="3">
        <f t="shared" si="24"/>
        <v>5.7102875457048709E-2</v>
      </c>
      <c r="N554" s="1">
        <v>2530</v>
      </c>
      <c r="O554" s="4">
        <f t="shared" si="25"/>
        <v>21.810344827586206</v>
      </c>
      <c r="P554" s="1">
        <v>116</v>
      </c>
      <c r="Q554" s="1">
        <v>6279.2724211049899</v>
      </c>
      <c r="R554" s="1">
        <v>5600.5042090849602</v>
      </c>
      <c r="S554" s="5">
        <f t="shared" si="26"/>
        <v>5599.5042090849602</v>
      </c>
      <c r="T554" s="1">
        <v>970</v>
      </c>
      <c r="U554" s="1">
        <v>157</v>
      </c>
      <c r="V554" s="1">
        <v>33</v>
      </c>
      <c r="W554" s="1">
        <v>1968</v>
      </c>
      <c r="X554" s="1">
        <v>0.62203303844290703</v>
      </c>
    </row>
    <row r="555" spans="1:24" x14ac:dyDescent="0.3">
      <c r="A555" s="2">
        <v>45321</v>
      </c>
      <c r="B555" s="1" t="s">
        <v>40</v>
      </c>
      <c r="C555" s="1" t="s">
        <v>18</v>
      </c>
      <c r="D555" s="1" t="s">
        <v>19</v>
      </c>
      <c r="E555" s="1" t="s">
        <v>20</v>
      </c>
      <c r="F555" s="1">
        <v>59</v>
      </c>
      <c r="G555" s="1" t="str" cm="1">
        <f t="array" ref="G555">_xlfn.IFS(F555&lt;=25,"YOUTH",F555&lt;=48,"ADULT",TRUE,"SENIOR")</f>
        <v>SENIOR</v>
      </c>
      <c r="H555" s="1" t="s">
        <v>29</v>
      </c>
      <c r="I555" s="1" t="s">
        <v>22</v>
      </c>
      <c r="J555" s="1" t="s">
        <v>23</v>
      </c>
      <c r="K555" s="1" t="s">
        <v>39</v>
      </c>
      <c r="L555" s="1">
        <v>26675</v>
      </c>
      <c r="M555" s="3">
        <f t="shared" si="24"/>
        <v>9.2446110590440486E-2</v>
      </c>
      <c r="N555" s="1">
        <v>2466</v>
      </c>
      <c r="O555" s="4">
        <f t="shared" si="25"/>
        <v>7.0256410256410255</v>
      </c>
      <c r="P555" s="1">
        <v>351</v>
      </c>
      <c r="Q555" s="1">
        <v>2585.0185520445202</v>
      </c>
      <c r="R555" s="1">
        <v>3390.3650469999998</v>
      </c>
      <c r="S555" s="5">
        <f t="shared" si="26"/>
        <v>3389.3650469999998</v>
      </c>
      <c r="T555" s="1">
        <v>671</v>
      </c>
      <c r="U555" s="1">
        <v>89</v>
      </c>
      <c r="V555" s="1">
        <v>45</v>
      </c>
      <c r="W555" s="1">
        <v>4953</v>
      </c>
      <c r="X555" s="1">
        <v>0.71419129589670705</v>
      </c>
    </row>
    <row r="556" spans="1:24" x14ac:dyDescent="0.3">
      <c r="A556" s="2">
        <v>45344</v>
      </c>
      <c r="B556" s="1" t="s">
        <v>40</v>
      </c>
      <c r="C556" s="1" t="s">
        <v>26</v>
      </c>
      <c r="D556" s="1" t="s">
        <v>27</v>
      </c>
      <c r="E556" s="1" t="s">
        <v>20</v>
      </c>
      <c r="F556" s="1">
        <v>26</v>
      </c>
      <c r="G556" s="1" t="str" cm="1">
        <f t="array" ref="G556">_xlfn.IFS(F556&lt;=25,"YOUTH",F556&lt;=48,"ADULT",TRUE,"SENIOR")</f>
        <v>ADULT</v>
      </c>
      <c r="H556" s="1" t="s">
        <v>29</v>
      </c>
      <c r="I556" s="1" t="s">
        <v>22</v>
      </c>
      <c r="J556" s="1" t="s">
        <v>23</v>
      </c>
      <c r="K556" s="1" t="s">
        <v>31</v>
      </c>
      <c r="L556" s="1">
        <v>26362</v>
      </c>
      <c r="M556" s="3">
        <f t="shared" si="24"/>
        <v>7.3590774599802747E-2</v>
      </c>
      <c r="N556" s="1">
        <v>1940</v>
      </c>
      <c r="O556" s="4">
        <f t="shared" si="25"/>
        <v>23.373493975903614</v>
      </c>
      <c r="P556" s="1">
        <v>83</v>
      </c>
      <c r="Q556" s="1">
        <v>568.57897232843595</v>
      </c>
      <c r="R556" s="1">
        <v>4225.0190592815197</v>
      </c>
      <c r="S556" s="5">
        <f t="shared" si="26"/>
        <v>4224.0190592815197</v>
      </c>
      <c r="T556" s="1">
        <v>327</v>
      </c>
      <c r="U556" s="1">
        <v>47</v>
      </c>
      <c r="V556" s="1">
        <v>20</v>
      </c>
      <c r="W556" s="1">
        <v>782</v>
      </c>
      <c r="X556" s="1">
        <v>0.40420818511366902</v>
      </c>
    </row>
    <row r="557" spans="1:24" x14ac:dyDescent="0.3">
      <c r="A557" s="2">
        <v>45302</v>
      </c>
      <c r="B557" s="1" t="s">
        <v>25</v>
      </c>
      <c r="C557" s="1" t="s">
        <v>26</v>
      </c>
      <c r="D557" s="1" t="s">
        <v>36</v>
      </c>
      <c r="E557" s="1" t="s">
        <v>28</v>
      </c>
      <c r="F557" s="1">
        <v>44</v>
      </c>
      <c r="G557" s="1" t="str" cm="1">
        <f t="array" ref="G557">_xlfn.IFS(F557&lt;=25,"YOUTH",F557&lt;=48,"ADULT",TRUE,"SENIOR")</f>
        <v>ADULT</v>
      </c>
      <c r="H557" s="1" t="s">
        <v>29</v>
      </c>
      <c r="I557" s="1" t="s">
        <v>33</v>
      </c>
      <c r="J557" s="1" t="s">
        <v>38</v>
      </c>
      <c r="K557" s="1" t="s">
        <v>31</v>
      </c>
      <c r="L557" s="1">
        <v>1148</v>
      </c>
      <c r="M557" s="3">
        <f t="shared" si="24"/>
        <v>0.11411149825783973</v>
      </c>
      <c r="N557" s="1">
        <v>131</v>
      </c>
      <c r="O557" s="4">
        <f t="shared" si="25"/>
        <v>4.6785714285714288</v>
      </c>
      <c r="P557" s="1">
        <v>28</v>
      </c>
      <c r="Q557" s="1">
        <v>28.077690071065302</v>
      </c>
      <c r="R557" s="1">
        <v>201.82780482596999</v>
      </c>
      <c r="S557" s="5">
        <f t="shared" si="26"/>
        <v>200.82780482596999</v>
      </c>
      <c r="T557" s="1">
        <v>20</v>
      </c>
      <c r="U557" s="1">
        <v>1</v>
      </c>
      <c r="V557" s="1">
        <v>1</v>
      </c>
      <c r="W557" s="1">
        <v>129</v>
      </c>
      <c r="X557" s="1">
        <v>0.759099457993614</v>
      </c>
    </row>
    <row r="558" spans="1:24" x14ac:dyDescent="0.3">
      <c r="A558" s="2">
        <v>45326</v>
      </c>
      <c r="B558" s="1" t="s">
        <v>34</v>
      </c>
      <c r="C558" s="1" t="s">
        <v>18</v>
      </c>
      <c r="D558" s="1" t="s">
        <v>27</v>
      </c>
      <c r="E558" s="1" t="s">
        <v>28</v>
      </c>
      <c r="F558" s="1">
        <v>19</v>
      </c>
      <c r="G558" s="1" t="str" cm="1">
        <f t="array" ref="G558">_xlfn.IFS(F558&lt;=25,"YOUTH",F558&lt;=48,"ADULT",TRUE,"SENIOR")</f>
        <v>YOUTH</v>
      </c>
      <c r="H558" s="1" t="s">
        <v>21</v>
      </c>
      <c r="I558" s="1" t="s">
        <v>33</v>
      </c>
      <c r="J558" s="1" t="s">
        <v>23</v>
      </c>
      <c r="K558" s="1" t="s">
        <v>39</v>
      </c>
      <c r="L558" s="1">
        <v>2754</v>
      </c>
      <c r="M558" s="3">
        <f t="shared" si="24"/>
        <v>3.9578794480755262E-2</v>
      </c>
      <c r="N558" s="1">
        <v>109</v>
      </c>
      <c r="O558" s="4">
        <f t="shared" si="25"/>
        <v>7.7857142857142856</v>
      </c>
      <c r="P558" s="1">
        <v>14</v>
      </c>
      <c r="Q558" s="1">
        <v>306.53120617714802</v>
      </c>
      <c r="R558" s="1">
        <v>836.63653221681602</v>
      </c>
      <c r="S558" s="5">
        <f t="shared" si="26"/>
        <v>835.63653221681602</v>
      </c>
      <c r="T558" s="1">
        <v>59</v>
      </c>
      <c r="U558" s="1">
        <v>6</v>
      </c>
      <c r="V558" s="1">
        <v>3</v>
      </c>
      <c r="W558" s="1">
        <v>191</v>
      </c>
      <c r="X558" s="1">
        <v>0.76283661675814096</v>
      </c>
    </row>
    <row r="559" spans="1:24" x14ac:dyDescent="0.3">
      <c r="A559" s="2">
        <v>45328</v>
      </c>
      <c r="B559" s="1" t="s">
        <v>40</v>
      </c>
      <c r="C559" s="1" t="s">
        <v>18</v>
      </c>
      <c r="D559" s="1" t="s">
        <v>32</v>
      </c>
      <c r="E559" s="1" t="s">
        <v>28</v>
      </c>
      <c r="F559" s="1">
        <v>22</v>
      </c>
      <c r="G559" s="1" t="str" cm="1">
        <f t="array" ref="G559">_xlfn.IFS(F559&lt;=25,"YOUTH",F559&lt;=48,"ADULT",TRUE,"SENIOR")</f>
        <v>YOUTH</v>
      </c>
      <c r="H559" s="1" t="s">
        <v>29</v>
      </c>
      <c r="I559" s="1" t="s">
        <v>37</v>
      </c>
      <c r="J559" s="1" t="s">
        <v>38</v>
      </c>
      <c r="K559" s="1" t="s">
        <v>39</v>
      </c>
      <c r="L559" s="1">
        <v>27745</v>
      </c>
      <c r="M559" s="3">
        <f t="shared" si="24"/>
        <v>1.1461524599026851E-2</v>
      </c>
      <c r="N559" s="1">
        <v>318</v>
      </c>
      <c r="O559" s="4">
        <f t="shared" si="25"/>
        <v>4.8923076923076927</v>
      </c>
      <c r="P559" s="1">
        <v>65</v>
      </c>
      <c r="Q559" s="1">
        <v>1561.5182233272501</v>
      </c>
      <c r="R559" s="1">
        <v>2293.61319267918</v>
      </c>
      <c r="S559" s="5">
        <f t="shared" si="26"/>
        <v>2292.61319267918</v>
      </c>
      <c r="T559" s="1">
        <v>156</v>
      </c>
      <c r="U559" s="1">
        <v>13</v>
      </c>
      <c r="V559" s="1">
        <v>5</v>
      </c>
      <c r="W559" s="1">
        <v>1708</v>
      </c>
      <c r="X559" s="1">
        <v>0.75888947442295496</v>
      </c>
    </row>
    <row r="560" spans="1:24" x14ac:dyDescent="0.3">
      <c r="A560" s="2">
        <v>45333</v>
      </c>
      <c r="B560" s="1" t="s">
        <v>34</v>
      </c>
      <c r="C560" s="1" t="s">
        <v>41</v>
      </c>
      <c r="D560" s="1" t="s">
        <v>19</v>
      </c>
      <c r="E560" s="1" t="s">
        <v>28</v>
      </c>
      <c r="F560" s="1">
        <v>46</v>
      </c>
      <c r="G560" s="1" t="str" cm="1">
        <f t="array" ref="G560">_xlfn.IFS(F560&lt;=25,"YOUTH",F560&lt;=48,"ADULT",TRUE,"SENIOR")</f>
        <v>ADULT</v>
      </c>
      <c r="H560" s="1" t="s">
        <v>21</v>
      </c>
      <c r="I560" s="1" t="s">
        <v>22</v>
      </c>
      <c r="J560" s="1" t="s">
        <v>23</v>
      </c>
      <c r="K560" s="1" t="s">
        <v>39</v>
      </c>
      <c r="L560" s="1">
        <v>8378</v>
      </c>
      <c r="M560" s="3">
        <f t="shared" si="24"/>
        <v>0.11864406779661017</v>
      </c>
      <c r="N560" s="1">
        <v>994</v>
      </c>
      <c r="O560" s="4">
        <f t="shared" si="25"/>
        <v>9.5576923076923084</v>
      </c>
      <c r="P560" s="1">
        <v>104</v>
      </c>
      <c r="Q560" s="1">
        <v>798.58563619999995</v>
      </c>
      <c r="R560" s="1">
        <v>1151.74844964161</v>
      </c>
      <c r="S560" s="5">
        <f t="shared" si="26"/>
        <v>1150.74844964161</v>
      </c>
      <c r="T560" s="1">
        <v>120</v>
      </c>
      <c r="U560" s="1">
        <v>21</v>
      </c>
      <c r="V560" s="1">
        <v>6</v>
      </c>
      <c r="W560" s="1">
        <v>1111</v>
      </c>
      <c r="X560" s="1">
        <v>0.48990736595845202</v>
      </c>
    </row>
    <row r="561" spans="1:24" x14ac:dyDescent="0.3">
      <c r="A561" s="2">
        <v>45304</v>
      </c>
      <c r="B561" s="1" t="s">
        <v>40</v>
      </c>
      <c r="C561" s="1" t="s">
        <v>18</v>
      </c>
      <c r="D561" s="1" t="s">
        <v>32</v>
      </c>
      <c r="E561" s="1" t="s">
        <v>28</v>
      </c>
      <c r="F561" s="1">
        <v>54</v>
      </c>
      <c r="G561" s="1" t="str" cm="1">
        <f t="array" ref="G561">_xlfn.IFS(F561&lt;=25,"YOUTH",F561&lt;=48,"ADULT",TRUE,"SENIOR")</f>
        <v>SENIOR</v>
      </c>
      <c r="H561" s="1" t="s">
        <v>21</v>
      </c>
      <c r="I561" s="1" t="s">
        <v>33</v>
      </c>
      <c r="J561" s="1" t="s">
        <v>30</v>
      </c>
      <c r="K561" s="1" t="s">
        <v>31</v>
      </c>
      <c r="L561" s="1">
        <v>47359</v>
      </c>
      <c r="M561" s="3">
        <f t="shared" si="24"/>
        <v>0.12502375472455077</v>
      </c>
      <c r="N561" s="1">
        <v>5921</v>
      </c>
      <c r="O561" s="4">
        <f t="shared" si="25"/>
        <v>20.559027777777779</v>
      </c>
      <c r="P561" s="1">
        <v>288</v>
      </c>
      <c r="Q561" s="1">
        <v>2192.5338525054799</v>
      </c>
      <c r="R561" s="1">
        <v>14671.6600105898</v>
      </c>
      <c r="S561" s="5">
        <f t="shared" si="26"/>
        <v>14670.6600105898</v>
      </c>
      <c r="T561" s="1">
        <v>1060</v>
      </c>
      <c r="U561" s="1">
        <v>70</v>
      </c>
      <c r="V561" s="1">
        <v>72</v>
      </c>
      <c r="W561" s="1">
        <v>2554</v>
      </c>
      <c r="X561" s="1">
        <v>0.540652779725452</v>
      </c>
    </row>
    <row r="562" spans="1:24" x14ac:dyDescent="0.3">
      <c r="A562" s="2">
        <v>45327</v>
      </c>
      <c r="B562" s="1" t="s">
        <v>40</v>
      </c>
      <c r="C562" s="1" t="s">
        <v>26</v>
      </c>
      <c r="D562" s="1" t="s">
        <v>27</v>
      </c>
      <c r="E562" s="1" t="s">
        <v>20</v>
      </c>
      <c r="F562" s="1">
        <v>55</v>
      </c>
      <c r="G562" s="1" t="str" cm="1">
        <f t="array" ref="G562">_xlfn.IFS(F562&lt;=25,"YOUTH",F562&lt;=48,"ADULT",TRUE,"SENIOR")</f>
        <v>SENIOR</v>
      </c>
      <c r="H562" s="1" t="s">
        <v>29</v>
      </c>
      <c r="I562" s="1" t="s">
        <v>33</v>
      </c>
      <c r="J562" s="1" t="s">
        <v>30</v>
      </c>
      <c r="K562" s="1" t="s">
        <v>31</v>
      </c>
      <c r="L562" s="1">
        <v>21140</v>
      </c>
      <c r="M562" s="3">
        <f t="shared" si="24"/>
        <v>1.8306527909176917E-2</v>
      </c>
      <c r="N562" s="1">
        <v>387</v>
      </c>
      <c r="O562" s="4">
        <f t="shared" si="25"/>
        <v>35.18181818181818</v>
      </c>
      <c r="P562" s="1">
        <v>11</v>
      </c>
      <c r="Q562" s="1">
        <v>1165.4979584446</v>
      </c>
      <c r="R562" s="1">
        <v>404.84246261519002</v>
      </c>
      <c r="S562" s="5">
        <f t="shared" si="26"/>
        <v>403.84246261519002</v>
      </c>
      <c r="T562" s="1">
        <v>239</v>
      </c>
      <c r="U562" s="1">
        <v>36</v>
      </c>
      <c r="V562" s="1">
        <v>14</v>
      </c>
      <c r="W562" s="1">
        <v>3892</v>
      </c>
      <c r="X562" s="1">
        <v>0.53605670074300704</v>
      </c>
    </row>
    <row r="563" spans="1:24" x14ac:dyDescent="0.3">
      <c r="A563" s="2">
        <v>45347</v>
      </c>
      <c r="B563" s="1" t="s">
        <v>25</v>
      </c>
      <c r="C563" s="1" t="s">
        <v>35</v>
      </c>
      <c r="D563" s="1" t="s">
        <v>32</v>
      </c>
      <c r="E563" s="1" t="s">
        <v>28</v>
      </c>
      <c r="F563" s="1">
        <v>36</v>
      </c>
      <c r="G563" s="1" t="str" cm="1">
        <f t="array" ref="G563">_xlfn.IFS(F563&lt;=25,"YOUTH",F563&lt;=48,"ADULT",TRUE,"SENIOR")</f>
        <v>ADULT</v>
      </c>
      <c r="H563" s="1" t="s">
        <v>29</v>
      </c>
      <c r="I563" s="1" t="s">
        <v>33</v>
      </c>
      <c r="J563" s="1" t="s">
        <v>23</v>
      </c>
      <c r="K563" s="1" t="s">
        <v>31</v>
      </c>
      <c r="L563" s="1">
        <v>10371</v>
      </c>
      <c r="M563" s="3">
        <f t="shared" si="24"/>
        <v>9.5458490020248768E-2</v>
      </c>
      <c r="N563" s="1">
        <v>990</v>
      </c>
      <c r="O563" s="4">
        <f t="shared" si="25"/>
        <v>11.927710843373495</v>
      </c>
      <c r="P563" s="1">
        <v>83</v>
      </c>
      <c r="Q563" s="1">
        <v>887.79221086087296</v>
      </c>
      <c r="R563" s="1">
        <v>1445.1690936330101</v>
      </c>
      <c r="S563" s="5">
        <f t="shared" si="26"/>
        <v>1444.1690936330101</v>
      </c>
      <c r="T563" s="1">
        <v>300</v>
      </c>
      <c r="U563" s="1">
        <v>26</v>
      </c>
      <c r="V563" s="1">
        <v>17</v>
      </c>
      <c r="W563" s="1">
        <v>903</v>
      </c>
      <c r="X563" s="1">
        <v>0.9280368407488</v>
      </c>
    </row>
    <row r="564" spans="1:24" x14ac:dyDescent="0.3">
      <c r="A564" s="2">
        <v>45304</v>
      </c>
      <c r="B564" s="1" t="s">
        <v>17</v>
      </c>
      <c r="C564" s="1" t="s">
        <v>18</v>
      </c>
      <c r="D564" s="1" t="s">
        <v>32</v>
      </c>
      <c r="E564" s="1" t="s">
        <v>28</v>
      </c>
      <c r="F564" s="1">
        <v>25</v>
      </c>
      <c r="G564" s="1" t="str" cm="1">
        <f t="array" ref="G564">_xlfn.IFS(F564&lt;=25,"YOUTH",F564&lt;=48,"ADULT",TRUE,"SENIOR")</f>
        <v>YOUTH</v>
      </c>
      <c r="H564" s="1" t="s">
        <v>29</v>
      </c>
      <c r="I564" s="1" t="s">
        <v>37</v>
      </c>
      <c r="J564" s="1" t="s">
        <v>23</v>
      </c>
      <c r="K564" s="1" t="s">
        <v>39</v>
      </c>
      <c r="L564" s="1">
        <v>27999</v>
      </c>
      <c r="M564" s="3">
        <f t="shared" si="24"/>
        <v>6.293081895781992E-2</v>
      </c>
      <c r="N564" s="1">
        <v>1762</v>
      </c>
      <c r="O564" s="4">
        <f t="shared" si="25"/>
        <v>13.149253731343284</v>
      </c>
      <c r="P564" s="1">
        <v>134</v>
      </c>
      <c r="Q564" s="1">
        <v>4110.9260225858998</v>
      </c>
      <c r="R564" s="1">
        <v>806.50637657080097</v>
      </c>
      <c r="S564" s="5">
        <f t="shared" si="26"/>
        <v>805.50637657080097</v>
      </c>
      <c r="T564" s="1">
        <v>161</v>
      </c>
      <c r="U564" s="1">
        <v>19</v>
      </c>
      <c r="V564" s="1">
        <v>4</v>
      </c>
      <c r="W564" s="1">
        <v>3883</v>
      </c>
      <c r="X564" s="1">
        <v>0.43714050297423201</v>
      </c>
    </row>
    <row r="565" spans="1:24" x14ac:dyDescent="0.3">
      <c r="A565" s="2">
        <v>45303</v>
      </c>
      <c r="B565" s="1" t="s">
        <v>17</v>
      </c>
      <c r="C565" s="1" t="s">
        <v>18</v>
      </c>
      <c r="D565" s="1" t="s">
        <v>19</v>
      </c>
      <c r="E565" s="1" t="s">
        <v>28</v>
      </c>
      <c r="F565" s="1">
        <v>18</v>
      </c>
      <c r="G565" s="1" t="str" cm="1">
        <f t="array" ref="G565">_xlfn.IFS(F565&lt;=25,"YOUTH",F565&lt;=48,"ADULT",TRUE,"SENIOR")</f>
        <v>YOUTH</v>
      </c>
      <c r="H565" s="1" t="s">
        <v>29</v>
      </c>
      <c r="I565" s="1" t="s">
        <v>37</v>
      </c>
      <c r="J565" s="1" t="s">
        <v>23</v>
      </c>
      <c r="K565" s="1" t="s">
        <v>31</v>
      </c>
      <c r="L565" s="1">
        <v>13779</v>
      </c>
      <c r="M565" s="3">
        <f t="shared" si="24"/>
        <v>0.12112635169460774</v>
      </c>
      <c r="N565" s="1">
        <v>1669</v>
      </c>
      <c r="O565" s="4">
        <f t="shared" si="25"/>
        <v>6.729838709677419</v>
      </c>
      <c r="P565" s="1">
        <v>248</v>
      </c>
      <c r="Q565" s="1">
        <v>1379.4868392057399</v>
      </c>
      <c r="R565" s="1">
        <v>7978.1319467756502</v>
      </c>
      <c r="S565" s="5">
        <f t="shared" si="26"/>
        <v>7977.1319467756502</v>
      </c>
      <c r="T565" s="1">
        <v>398</v>
      </c>
      <c r="U565" s="1">
        <v>37</v>
      </c>
      <c r="V565" s="1">
        <v>14</v>
      </c>
      <c r="W565" s="1">
        <v>2043</v>
      </c>
      <c r="X565" s="1">
        <v>0.63581882923692701</v>
      </c>
    </row>
    <row r="566" spans="1:24" x14ac:dyDescent="0.3">
      <c r="A566" s="2">
        <v>45328</v>
      </c>
      <c r="B566" s="1" t="s">
        <v>40</v>
      </c>
      <c r="C566" s="1" t="s">
        <v>41</v>
      </c>
      <c r="D566" s="1" t="s">
        <v>36</v>
      </c>
      <c r="E566" s="1" t="s">
        <v>20</v>
      </c>
      <c r="F566" s="1">
        <v>39</v>
      </c>
      <c r="G566" s="1" t="str" cm="1">
        <f t="array" ref="G566">_xlfn.IFS(F566&lt;=25,"YOUTH",F566&lt;=48,"ADULT",TRUE,"SENIOR")</f>
        <v>ADULT</v>
      </c>
      <c r="H566" s="1" t="s">
        <v>29</v>
      </c>
      <c r="I566" s="1" t="s">
        <v>43</v>
      </c>
      <c r="J566" s="1" t="s">
        <v>23</v>
      </c>
      <c r="K566" s="1" t="s">
        <v>31</v>
      </c>
      <c r="L566" s="1">
        <v>32075</v>
      </c>
      <c r="M566" s="3">
        <f t="shared" si="24"/>
        <v>0.13240841777084958</v>
      </c>
      <c r="N566" s="1">
        <v>4247</v>
      </c>
      <c r="O566" s="4">
        <f t="shared" si="25"/>
        <v>40.066037735849058</v>
      </c>
      <c r="P566" s="1">
        <v>106</v>
      </c>
      <c r="Q566" s="1">
        <v>4545.0035587931698</v>
      </c>
      <c r="R566" s="1">
        <v>1119.9854</v>
      </c>
      <c r="S566" s="5">
        <f t="shared" si="26"/>
        <v>1118.9854</v>
      </c>
      <c r="T566" s="1">
        <v>334</v>
      </c>
      <c r="U566" s="1">
        <v>32</v>
      </c>
      <c r="V566" s="1">
        <v>15</v>
      </c>
      <c r="W566" s="1">
        <v>4482</v>
      </c>
      <c r="X566" s="1">
        <v>0.87918964820110601</v>
      </c>
    </row>
    <row r="567" spans="1:24" x14ac:dyDescent="0.3">
      <c r="A567" s="2">
        <v>45301</v>
      </c>
      <c r="B567" s="1" t="s">
        <v>25</v>
      </c>
      <c r="C567" s="1" t="s">
        <v>41</v>
      </c>
      <c r="D567" s="1" t="s">
        <v>27</v>
      </c>
      <c r="E567" s="1" t="s">
        <v>20</v>
      </c>
      <c r="F567" s="1">
        <v>34</v>
      </c>
      <c r="G567" s="1" t="str" cm="1">
        <f t="array" ref="G567">_xlfn.IFS(F567&lt;=25,"YOUTH",F567&lt;=48,"ADULT",TRUE,"SENIOR")</f>
        <v>ADULT</v>
      </c>
      <c r="H567" s="1" t="s">
        <v>21</v>
      </c>
      <c r="I567" s="1" t="s">
        <v>22</v>
      </c>
      <c r="J567" s="1" t="s">
        <v>23</v>
      </c>
      <c r="K567" s="1" t="s">
        <v>39</v>
      </c>
      <c r="L567" s="1">
        <v>31697</v>
      </c>
      <c r="M567" s="3">
        <f t="shared" si="24"/>
        <v>0.12912893964728522</v>
      </c>
      <c r="N567" s="1">
        <v>4093</v>
      </c>
      <c r="O567" s="4">
        <f t="shared" si="25"/>
        <v>7.168126094570928</v>
      </c>
      <c r="P567" s="1">
        <v>571</v>
      </c>
      <c r="Q567" s="1">
        <v>4587.1702219999997</v>
      </c>
      <c r="R567" s="1">
        <v>6350.1083504462003</v>
      </c>
      <c r="S567" s="5">
        <f t="shared" si="26"/>
        <v>6349.1083504462003</v>
      </c>
      <c r="T567" s="1">
        <v>197</v>
      </c>
      <c r="U567" s="1">
        <v>17</v>
      </c>
      <c r="V567" s="1">
        <v>10</v>
      </c>
      <c r="W567" s="1">
        <v>5757</v>
      </c>
      <c r="X567" s="1">
        <v>0.82320629694624303</v>
      </c>
    </row>
    <row r="568" spans="1:24" x14ac:dyDescent="0.3">
      <c r="A568" s="2">
        <v>45351</v>
      </c>
      <c r="B568" s="1" t="s">
        <v>34</v>
      </c>
      <c r="C568" s="1" t="s">
        <v>18</v>
      </c>
      <c r="D568" s="1" t="s">
        <v>19</v>
      </c>
      <c r="E568" s="1" t="s">
        <v>20</v>
      </c>
      <c r="F568" s="1">
        <v>24</v>
      </c>
      <c r="G568" s="1" t="str" cm="1">
        <f t="array" ref="G568">_xlfn.IFS(F568&lt;=25,"YOUTH",F568&lt;=48,"ADULT",TRUE,"SENIOR")</f>
        <v>YOUTH</v>
      </c>
      <c r="H568" s="1" t="s">
        <v>29</v>
      </c>
      <c r="I568" s="1" t="s">
        <v>43</v>
      </c>
      <c r="J568" s="1" t="s">
        <v>23</v>
      </c>
      <c r="K568" s="1" t="s">
        <v>24</v>
      </c>
      <c r="L568" s="1">
        <v>10795</v>
      </c>
      <c r="M568" s="3">
        <f t="shared" si="24"/>
        <v>0.11875868457619268</v>
      </c>
      <c r="N568" s="1">
        <v>1282</v>
      </c>
      <c r="O568" s="4">
        <f t="shared" si="25"/>
        <v>9.0921985815602842</v>
      </c>
      <c r="P568" s="1">
        <v>141</v>
      </c>
      <c r="Q568" s="1">
        <v>507.95116347671899</v>
      </c>
      <c r="R568" s="1">
        <v>3155.07531074393</v>
      </c>
      <c r="S568" s="5">
        <f t="shared" si="26"/>
        <v>3154.07531074393</v>
      </c>
      <c r="T568" s="1">
        <v>132</v>
      </c>
      <c r="U568" s="1">
        <v>21</v>
      </c>
      <c r="V568" s="1">
        <v>8</v>
      </c>
      <c r="W568" s="1">
        <v>582</v>
      </c>
      <c r="X568" s="1">
        <v>0.85234316855690895</v>
      </c>
    </row>
    <row r="569" spans="1:24" x14ac:dyDescent="0.3">
      <c r="A569" s="2">
        <v>45347</v>
      </c>
      <c r="B569" s="1" t="s">
        <v>34</v>
      </c>
      <c r="C569" s="1" t="s">
        <v>26</v>
      </c>
      <c r="D569" s="1" t="s">
        <v>36</v>
      </c>
      <c r="E569" s="1" t="s">
        <v>28</v>
      </c>
      <c r="F569" s="1">
        <v>42</v>
      </c>
      <c r="G569" s="1" t="str" cm="1">
        <f t="array" ref="G569">_xlfn.IFS(F569&lt;=25,"YOUTH",F569&lt;=48,"ADULT",TRUE,"SENIOR")</f>
        <v>ADULT</v>
      </c>
      <c r="H569" s="1" t="s">
        <v>42</v>
      </c>
      <c r="I569" s="1" t="s">
        <v>33</v>
      </c>
      <c r="J569" s="1" t="s">
        <v>23</v>
      </c>
      <c r="K569" s="1" t="s">
        <v>31</v>
      </c>
      <c r="L569" s="1">
        <v>39460</v>
      </c>
      <c r="M569" s="3">
        <f t="shared" si="24"/>
        <v>4.7643182970096301E-2</v>
      </c>
      <c r="N569" s="1">
        <v>1880</v>
      </c>
      <c r="O569" s="4">
        <f t="shared" si="25"/>
        <v>6.5505226480836241</v>
      </c>
      <c r="P569" s="1">
        <v>287</v>
      </c>
      <c r="Q569" s="1">
        <v>2385.5609419451898</v>
      </c>
      <c r="R569" s="1">
        <v>13196.1995350574</v>
      </c>
      <c r="S569" s="5">
        <f t="shared" si="26"/>
        <v>13195.1995350574</v>
      </c>
      <c r="T569" s="1">
        <v>972</v>
      </c>
      <c r="U569" s="1">
        <v>101</v>
      </c>
      <c r="V569" s="1">
        <v>86</v>
      </c>
      <c r="W569" s="1">
        <v>1039</v>
      </c>
      <c r="X569" s="1">
        <v>0.93476147126728304</v>
      </c>
    </row>
    <row r="570" spans="1:24" x14ac:dyDescent="0.3">
      <c r="A570" s="2">
        <v>45300</v>
      </c>
      <c r="B570" s="1" t="s">
        <v>40</v>
      </c>
      <c r="C570" s="1" t="s">
        <v>26</v>
      </c>
      <c r="D570" s="1" t="s">
        <v>32</v>
      </c>
      <c r="E570" s="1" t="s">
        <v>28</v>
      </c>
      <c r="F570" s="1">
        <v>21</v>
      </c>
      <c r="G570" s="1" t="str" cm="1">
        <f t="array" ref="G570">_xlfn.IFS(F570&lt;=25,"YOUTH",F570&lt;=48,"ADULT",TRUE,"SENIOR")</f>
        <v>YOUTH</v>
      </c>
      <c r="H570" s="1" t="s">
        <v>29</v>
      </c>
      <c r="I570" s="1" t="s">
        <v>37</v>
      </c>
      <c r="J570" s="1" t="s">
        <v>23</v>
      </c>
      <c r="K570" s="1" t="s">
        <v>31</v>
      </c>
      <c r="L570" s="1">
        <v>5218</v>
      </c>
      <c r="M570" s="3">
        <f t="shared" si="24"/>
        <v>0.12361057876581065</v>
      </c>
      <c r="N570" s="1">
        <v>645</v>
      </c>
      <c r="O570" s="4">
        <f t="shared" si="25"/>
        <v>5.5128205128205128</v>
      </c>
      <c r="P570" s="1">
        <v>117</v>
      </c>
      <c r="Q570" s="1">
        <v>626.67656404189495</v>
      </c>
      <c r="R570" s="1">
        <v>4614.9701781060103</v>
      </c>
      <c r="S570" s="5">
        <f t="shared" si="26"/>
        <v>4613.9701781060103</v>
      </c>
      <c r="T570" s="1">
        <v>124</v>
      </c>
      <c r="U570" s="1">
        <v>19</v>
      </c>
      <c r="V570" s="1">
        <v>4</v>
      </c>
      <c r="W570" s="1">
        <v>107</v>
      </c>
      <c r="X570" s="1">
        <v>0.61299399675025301</v>
      </c>
    </row>
    <row r="571" spans="1:24" x14ac:dyDescent="0.3">
      <c r="A571" s="2">
        <v>45343</v>
      </c>
      <c r="B571" s="1" t="s">
        <v>17</v>
      </c>
      <c r="C571" s="1" t="s">
        <v>35</v>
      </c>
      <c r="D571" s="1" t="s">
        <v>36</v>
      </c>
      <c r="E571" s="1" t="s">
        <v>28</v>
      </c>
      <c r="F571" s="1">
        <v>53</v>
      </c>
      <c r="G571" s="1" t="str" cm="1">
        <f t="array" ref="G571">_xlfn.IFS(F571&lt;=25,"YOUTH",F571&lt;=48,"ADULT",TRUE,"SENIOR")</f>
        <v>SENIOR</v>
      </c>
      <c r="H571" s="1" t="s">
        <v>21</v>
      </c>
      <c r="I571" s="1" t="s">
        <v>37</v>
      </c>
      <c r="J571" s="1" t="s">
        <v>23</v>
      </c>
      <c r="K571" s="1" t="s">
        <v>39</v>
      </c>
      <c r="L571" s="1">
        <v>38571</v>
      </c>
      <c r="M571" s="3">
        <f t="shared" si="24"/>
        <v>8.4675014907573051E-2</v>
      </c>
      <c r="N571" s="1">
        <v>3266</v>
      </c>
      <c r="O571" s="4">
        <f t="shared" si="25"/>
        <v>6.0369685767097963</v>
      </c>
      <c r="P571" s="1">
        <v>541</v>
      </c>
      <c r="Q571" s="1">
        <v>5117.5740632093202</v>
      </c>
      <c r="R571" s="1">
        <v>5130.9386949165</v>
      </c>
      <c r="S571" s="5">
        <f t="shared" si="26"/>
        <v>5129.9386949165</v>
      </c>
      <c r="T571" s="1">
        <v>394</v>
      </c>
      <c r="U571" s="1">
        <v>46</v>
      </c>
      <c r="V571" s="1">
        <v>8</v>
      </c>
      <c r="W571" s="1">
        <v>6818</v>
      </c>
      <c r="X571" s="1">
        <v>0.570310400909253</v>
      </c>
    </row>
    <row r="572" spans="1:24" x14ac:dyDescent="0.3">
      <c r="A572" s="2">
        <v>45298</v>
      </c>
      <c r="B572" s="1" t="s">
        <v>25</v>
      </c>
      <c r="C572" s="1" t="s">
        <v>18</v>
      </c>
      <c r="D572" s="1" t="s">
        <v>32</v>
      </c>
      <c r="E572" s="1" t="s">
        <v>28</v>
      </c>
      <c r="F572" s="1">
        <v>23</v>
      </c>
      <c r="G572" s="1" t="str" cm="1">
        <f t="array" ref="G572">_xlfn.IFS(F572&lt;=25,"YOUTH",F572&lt;=48,"ADULT",TRUE,"SENIOR")</f>
        <v>YOUTH</v>
      </c>
      <c r="H572" s="1" t="s">
        <v>21</v>
      </c>
      <c r="I572" s="1" t="s">
        <v>43</v>
      </c>
      <c r="J572" s="1" t="s">
        <v>23</v>
      </c>
      <c r="K572" s="1" t="s">
        <v>39</v>
      </c>
      <c r="L572" s="1">
        <v>12672</v>
      </c>
      <c r="M572" s="3">
        <f t="shared" si="24"/>
        <v>1.7361111111111112E-2</v>
      </c>
      <c r="N572" s="1">
        <v>220</v>
      </c>
      <c r="O572" s="4">
        <f t="shared" si="25"/>
        <v>4.0740740740740744</v>
      </c>
      <c r="P572" s="1">
        <v>54</v>
      </c>
      <c r="Q572" s="1">
        <v>1108.7933693080599</v>
      </c>
      <c r="R572" s="1">
        <v>3669.1937783825601</v>
      </c>
      <c r="S572" s="5">
        <f t="shared" si="26"/>
        <v>3668.1937783825601</v>
      </c>
      <c r="T572" s="1">
        <v>125</v>
      </c>
      <c r="U572" s="1">
        <v>16</v>
      </c>
      <c r="V572" s="1">
        <v>6</v>
      </c>
      <c r="W572" s="1">
        <v>2470</v>
      </c>
      <c r="X572" s="1">
        <v>0.41686271958260801</v>
      </c>
    </row>
    <row r="573" spans="1:24" x14ac:dyDescent="0.3">
      <c r="A573" s="2">
        <v>45293</v>
      </c>
      <c r="B573" s="1" t="s">
        <v>17</v>
      </c>
      <c r="C573" s="1" t="s">
        <v>41</v>
      </c>
      <c r="D573" s="1" t="s">
        <v>32</v>
      </c>
      <c r="E573" s="1" t="s">
        <v>28</v>
      </c>
      <c r="F573" s="1">
        <v>48</v>
      </c>
      <c r="G573" s="1" t="str" cm="1">
        <f t="array" ref="G573">_xlfn.IFS(F573&lt;=25,"YOUTH",F573&lt;=48,"ADULT",TRUE,"SENIOR")</f>
        <v>ADULT</v>
      </c>
      <c r="H573" s="1" t="s">
        <v>21</v>
      </c>
      <c r="I573" s="1" t="s">
        <v>37</v>
      </c>
      <c r="J573" s="1" t="s">
        <v>30</v>
      </c>
      <c r="K573" s="1" t="s">
        <v>31</v>
      </c>
      <c r="L573" s="1">
        <v>32042</v>
      </c>
      <c r="M573" s="3">
        <f t="shared" si="24"/>
        <v>7.3965420385743705E-2</v>
      </c>
      <c r="N573" s="1">
        <v>2370</v>
      </c>
      <c r="O573" s="4">
        <f t="shared" si="25"/>
        <v>19.42622950819672</v>
      </c>
      <c r="P573" s="1">
        <v>122</v>
      </c>
      <c r="Q573" s="1">
        <v>4778.0834542144303</v>
      </c>
      <c r="R573" s="1">
        <v>7645.2476981761001</v>
      </c>
      <c r="S573" s="5">
        <f t="shared" si="26"/>
        <v>7644.2476981761001</v>
      </c>
      <c r="T573" s="1">
        <v>674</v>
      </c>
      <c r="U573" s="1">
        <v>88</v>
      </c>
      <c r="V573" s="1">
        <v>36</v>
      </c>
      <c r="W573" s="1">
        <v>2162</v>
      </c>
      <c r="X573" s="1">
        <v>0.48251064898442397</v>
      </c>
    </row>
    <row r="574" spans="1:24" x14ac:dyDescent="0.3">
      <c r="A574" s="2">
        <v>45345</v>
      </c>
      <c r="B574" s="1" t="s">
        <v>34</v>
      </c>
      <c r="C574" s="1" t="s">
        <v>26</v>
      </c>
      <c r="D574" s="1" t="s">
        <v>19</v>
      </c>
      <c r="E574" s="1" t="s">
        <v>20</v>
      </c>
      <c r="F574" s="1">
        <v>36</v>
      </c>
      <c r="G574" s="1" t="str" cm="1">
        <f t="array" ref="G574">_xlfn.IFS(F574&lt;=25,"YOUTH",F574&lt;=48,"ADULT",TRUE,"SENIOR")</f>
        <v>ADULT</v>
      </c>
      <c r="H574" s="1" t="s">
        <v>21</v>
      </c>
      <c r="I574" s="1" t="s">
        <v>33</v>
      </c>
      <c r="J574" s="1" t="s">
        <v>23</v>
      </c>
      <c r="K574" s="1" t="s">
        <v>24</v>
      </c>
      <c r="L574" s="1">
        <v>36950</v>
      </c>
      <c r="M574" s="3">
        <f t="shared" si="24"/>
        <v>0.14189445196211095</v>
      </c>
      <c r="N574" s="1">
        <v>5243</v>
      </c>
      <c r="O574" s="4">
        <f t="shared" si="25"/>
        <v>8.4157303370786511</v>
      </c>
      <c r="P574" s="1">
        <v>623</v>
      </c>
      <c r="Q574" s="1">
        <v>794.58705672094004</v>
      </c>
      <c r="R574" s="1">
        <v>13612.336101943099</v>
      </c>
      <c r="S574" s="5">
        <f t="shared" si="26"/>
        <v>13611.336101943099</v>
      </c>
      <c r="T574" s="1">
        <v>607</v>
      </c>
      <c r="U574" s="1">
        <v>119</v>
      </c>
      <c r="V574" s="1">
        <v>38</v>
      </c>
      <c r="W574" s="1">
        <v>5238</v>
      </c>
      <c r="X574" s="1">
        <v>0.709108059998663</v>
      </c>
    </row>
    <row r="575" spans="1:24" x14ac:dyDescent="0.3">
      <c r="A575" s="2">
        <v>45347</v>
      </c>
      <c r="B575" s="1" t="s">
        <v>17</v>
      </c>
      <c r="C575" s="1" t="s">
        <v>35</v>
      </c>
      <c r="D575" s="1" t="s">
        <v>32</v>
      </c>
      <c r="E575" s="1" t="s">
        <v>28</v>
      </c>
      <c r="F575" s="1">
        <v>56</v>
      </c>
      <c r="G575" s="1" t="str" cm="1">
        <f t="array" ref="G575">_xlfn.IFS(F575&lt;=25,"YOUTH",F575&lt;=48,"ADULT",TRUE,"SENIOR")</f>
        <v>SENIOR</v>
      </c>
      <c r="H575" s="1" t="s">
        <v>21</v>
      </c>
      <c r="I575" s="1" t="s">
        <v>37</v>
      </c>
      <c r="J575" s="1" t="s">
        <v>23</v>
      </c>
      <c r="K575" s="1" t="s">
        <v>24</v>
      </c>
      <c r="L575" s="1">
        <v>12009</v>
      </c>
      <c r="M575" s="3">
        <f t="shared" si="24"/>
        <v>0.13423265883920393</v>
      </c>
      <c r="N575" s="1">
        <v>1612</v>
      </c>
      <c r="O575" s="4">
        <f t="shared" si="25"/>
        <v>8.5291005291005284</v>
      </c>
      <c r="P575" s="1">
        <v>189</v>
      </c>
      <c r="Q575" s="1">
        <v>707.89506611997103</v>
      </c>
      <c r="R575" s="1">
        <v>2447.9294056949002</v>
      </c>
      <c r="S575" s="5">
        <f t="shared" si="26"/>
        <v>2446.9294056949002</v>
      </c>
      <c r="T575" s="1">
        <v>297</v>
      </c>
      <c r="U575" s="1">
        <v>31</v>
      </c>
      <c r="V575" s="1">
        <v>25</v>
      </c>
      <c r="W575" s="1">
        <v>140</v>
      </c>
      <c r="X575" s="1">
        <v>0.48671332699999997</v>
      </c>
    </row>
    <row r="576" spans="1:24" x14ac:dyDescent="0.3">
      <c r="A576" s="2">
        <v>45351</v>
      </c>
      <c r="B576" s="1" t="s">
        <v>34</v>
      </c>
      <c r="C576" s="1" t="s">
        <v>18</v>
      </c>
      <c r="D576" s="1" t="s">
        <v>19</v>
      </c>
      <c r="E576" s="1" t="s">
        <v>20</v>
      </c>
      <c r="F576" s="1">
        <v>44</v>
      </c>
      <c r="G576" s="1" t="str" cm="1">
        <f t="array" ref="G576">_xlfn.IFS(F576&lt;=25,"YOUTH",F576&lt;=48,"ADULT",TRUE,"SENIOR")</f>
        <v>ADULT</v>
      </c>
      <c r="H576" s="1" t="s">
        <v>21</v>
      </c>
      <c r="I576" s="1" t="s">
        <v>43</v>
      </c>
      <c r="J576" s="1" t="s">
        <v>23</v>
      </c>
      <c r="K576" s="1" t="s">
        <v>31</v>
      </c>
      <c r="L576" s="1">
        <v>48096</v>
      </c>
      <c r="M576" s="3">
        <f t="shared" si="24"/>
        <v>2.4305555555555556E-2</v>
      </c>
      <c r="N576" s="1">
        <v>1169</v>
      </c>
      <c r="O576" s="4">
        <f t="shared" si="25"/>
        <v>8.6592592592592599</v>
      </c>
      <c r="P576" s="1">
        <v>135</v>
      </c>
      <c r="Q576" s="1">
        <v>4858.2264020529101</v>
      </c>
      <c r="R576" s="1">
        <v>8944.5851380000004</v>
      </c>
      <c r="S576" s="5">
        <f t="shared" si="26"/>
        <v>8943.5851380000004</v>
      </c>
      <c r="T576" s="1">
        <v>269</v>
      </c>
      <c r="U576" s="1">
        <v>21</v>
      </c>
      <c r="V576" s="1">
        <v>22</v>
      </c>
      <c r="W576" s="1">
        <v>2204</v>
      </c>
      <c r="X576" s="1">
        <v>0.8049677587895</v>
      </c>
    </row>
    <row r="577" spans="1:24" x14ac:dyDescent="0.3">
      <c r="A577" s="2">
        <v>45314</v>
      </c>
      <c r="B577" s="1" t="s">
        <v>25</v>
      </c>
      <c r="C577" s="1" t="s">
        <v>26</v>
      </c>
      <c r="D577" s="1" t="s">
        <v>36</v>
      </c>
      <c r="E577" s="1" t="s">
        <v>28</v>
      </c>
      <c r="F577" s="1">
        <v>27</v>
      </c>
      <c r="G577" s="1" t="str" cm="1">
        <f t="array" ref="G577">_xlfn.IFS(F577&lt;=25,"YOUTH",F577&lt;=48,"ADULT",TRUE,"SENIOR")</f>
        <v>ADULT</v>
      </c>
      <c r="H577" s="1" t="s">
        <v>21</v>
      </c>
      <c r="I577" s="1" t="s">
        <v>33</v>
      </c>
      <c r="J577" s="1" t="s">
        <v>38</v>
      </c>
      <c r="K577" s="1" t="s">
        <v>31</v>
      </c>
      <c r="L577" s="1">
        <v>20544</v>
      </c>
      <c r="M577" s="3">
        <f t="shared" si="24"/>
        <v>0.1141452492211838</v>
      </c>
      <c r="N577" s="1">
        <v>2345</v>
      </c>
      <c r="O577" s="4">
        <f t="shared" si="25"/>
        <v>5.8044554455445541</v>
      </c>
      <c r="P577" s="1">
        <v>404</v>
      </c>
      <c r="Q577" s="1">
        <v>1664.2219509389499</v>
      </c>
      <c r="R577" s="1">
        <v>14129.583087147101</v>
      </c>
      <c r="S577" s="5">
        <f t="shared" si="26"/>
        <v>14128.583087147101</v>
      </c>
      <c r="T577" s="1">
        <v>416</v>
      </c>
      <c r="U577" s="1">
        <v>77</v>
      </c>
      <c r="V577" s="1">
        <v>11</v>
      </c>
      <c r="W577" s="1">
        <v>2895</v>
      </c>
      <c r="X577" s="1">
        <v>0.42047793270376499</v>
      </c>
    </row>
    <row r="578" spans="1:24" x14ac:dyDescent="0.3">
      <c r="A578" s="2">
        <v>45330</v>
      </c>
      <c r="B578" s="1" t="s">
        <v>25</v>
      </c>
      <c r="C578" s="1" t="s">
        <v>18</v>
      </c>
      <c r="D578" s="1" t="s">
        <v>36</v>
      </c>
      <c r="E578" s="1" t="s">
        <v>20</v>
      </c>
      <c r="F578" s="1">
        <v>43</v>
      </c>
      <c r="G578" s="1" t="str" cm="1">
        <f t="array" ref="G578">_xlfn.IFS(F578&lt;=25,"YOUTH",F578&lt;=48,"ADULT",TRUE,"SENIOR")</f>
        <v>ADULT</v>
      </c>
      <c r="H578" s="1" t="s">
        <v>21</v>
      </c>
      <c r="I578" s="1" t="s">
        <v>43</v>
      </c>
      <c r="J578" s="1" t="s">
        <v>38</v>
      </c>
      <c r="K578" s="1" t="s">
        <v>39</v>
      </c>
      <c r="L578" s="1">
        <v>30381</v>
      </c>
      <c r="M578" s="3">
        <f t="shared" si="24"/>
        <v>0.12280701754385964</v>
      </c>
      <c r="N578" s="1">
        <v>3731</v>
      </c>
      <c r="O578" s="4">
        <f t="shared" si="25"/>
        <v>7.5526315789473681</v>
      </c>
      <c r="P578" s="1">
        <v>494</v>
      </c>
      <c r="Q578" s="1">
        <v>1068.1469139995399</v>
      </c>
      <c r="R578" s="1">
        <v>12461.5712388108</v>
      </c>
      <c r="S578" s="5">
        <f t="shared" si="26"/>
        <v>12460.5712388108</v>
      </c>
      <c r="T578" s="1">
        <v>706</v>
      </c>
      <c r="U578" s="1">
        <v>53</v>
      </c>
      <c r="V578" s="1">
        <v>66</v>
      </c>
      <c r="W578" s="1">
        <v>684</v>
      </c>
      <c r="X578" s="1">
        <v>0.54271841278083499</v>
      </c>
    </row>
    <row r="579" spans="1:24" x14ac:dyDescent="0.3">
      <c r="A579" s="2">
        <v>45331</v>
      </c>
      <c r="B579" s="1" t="s">
        <v>40</v>
      </c>
      <c r="C579" s="1" t="s">
        <v>18</v>
      </c>
      <c r="D579" s="1" t="s">
        <v>32</v>
      </c>
      <c r="E579" s="1" t="s">
        <v>20</v>
      </c>
      <c r="F579" s="1">
        <v>36</v>
      </c>
      <c r="G579" s="1" t="str" cm="1">
        <f t="array" ref="G579">_xlfn.IFS(F579&lt;=25,"YOUTH",F579&lt;=48,"ADULT",TRUE,"SENIOR")</f>
        <v>ADULT</v>
      </c>
      <c r="H579" s="1" t="s">
        <v>29</v>
      </c>
      <c r="I579" s="1" t="s">
        <v>37</v>
      </c>
      <c r="J579" s="1" t="s">
        <v>38</v>
      </c>
      <c r="K579" s="1" t="s">
        <v>39</v>
      </c>
      <c r="L579" s="1">
        <v>26287</v>
      </c>
      <c r="M579" s="3">
        <f t="shared" ref="M579:M642" si="27">(N579/L579)</f>
        <v>4.797047970479705E-2</v>
      </c>
      <c r="N579" s="1">
        <v>1261</v>
      </c>
      <c r="O579" s="4">
        <f t="shared" ref="O579:O642" si="28">(N579/P579)</f>
        <v>7.2057142857142855</v>
      </c>
      <c r="P579" s="1">
        <v>175</v>
      </c>
      <c r="Q579" s="1">
        <v>1782.58248508358</v>
      </c>
      <c r="R579" s="1">
        <v>6452.822650004</v>
      </c>
      <c r="S579" s="5">
        <f t="shared" ref="S579:S642" si="29">(R579-Q579/Q579)</f>
        <v>6451.822650004</v>
      </c>
      <c r="T579" s="1">
        <v>784</v>
      </c>
      <c r="U579" s="1">
        <v>137</v>
      </c>
      <c r="V579" s="1">
        <v>22</v>
      </c>
      <c r="W579" s="1">
        <v>2602</v>
      </c>
      <c r="X579" s="1">
        <v>0.78249921786366805</v>
      </c>
    </row>
    <row r="580" spans="1:24" x14ac:dyDescent="0.3">
      <c r="A580" s="2">
        <v>45330</v>
      </c>
      <c r="B580" s="1" t="s">
        <v>40</v>
      </c>
      <c r="C580" s="1" t="s">
        <v>26</v>
      </c>
      <c r="D580" s="1" t="s">
        <v>19</v>
      </c>
      <c r="E580" s="1" t="s">
        <v>20</v>
      </c>
      <c r="F580" s="1">
        <v>56</v>
      </c>
      <c r="G580" s="1" t="str" cm="1">
        <f t="array" ref="G580">_xlfn.IFS(F580&lt;=25,"YOUTH",F580&lt;=48,"ADULT",TRUE,"SENIOR")</f>
        <v>SENIOR</v>
      </c>
      <c r="H580" s="1" t="s">
        <v>29</v>
      </c>
      <c r="I580" s="1" t="s">
        <v>43</v>
      </c>
      <c r="J580" s="1" t="s">
        <v>30</v>
      </c>
      <c r="K580" s="1" t="s">
        <v>31</v>
      </c>
      <c r="L580" s="1">
        <v>3586</v>
      </c>
      <c r="M580" s="3">
        <f t="shared" si="27"/>
        <v>7.5850529838259906E-2</v>
      </c>
      <c r="N580" s="1">
        <v>272</v>
      </c>
      <c r="O580" s="4">
        <f t="shared" si="28"/>
        <v>8.5</v>
      </c>
      <c r="P580" s="1">
        <v>32</v>
      </c>
      <c r="Q580" s="1">
        <v>83.582949260000007</v>
      </c>
      <c r="R580" s="1">
        <v>1767.3078206565301</v>
      </c>
      <c r="S580" s="5">
        <f t="shared" si="29"/>
        <v>1766.3078206565301</v>
      </c>
      <c r="T580" s="1">
        <v>78</v>
      </c>
      <c r="U580" s="1">
        <v>5</v>
      </c>
      <c r="V580" s="1">
        <v>5</v>
      </c>
      <c r="W580" s="1">
        <v>487</v>
      </c>
      <c r="X580" s="1">
        <v>0.54052655333148503</v>
      </c>
    </row>
    <row r="581" spans="1:24" x14ac:dyDescent="0.3">
      <c r="A581" s="2">
        <v>45312</v>
      </c>
      <c r="B581" s="1" t="s">
        <v>17</v>
      </c>
      <c r="C581" s="1" t="s">
        <v>26</v>
      </c>
      <c r="D581" s="1" t="s">
        <v>32</v>
      </c>
      <c r="E581" s="1" t="s">
        <v>20</v>
      </c>
      <c r="F581" s="1">
        <v>20</v>
      </c>
      <c r="G581" s="1" t="str" cm="1">
        <f t="array" ref="G581">_xlfn.IFS(F581&lt;=25,"YOUTH",F581&lt;=48,"ADULT",TRUE,"SENIOR")</f>
        <v>YOUTH</v>
      </c>
      <c r="H581" s="1" t="s">
        <v>21</v>
      </c>
      <c r="I581" s="1" t="s">
        <v>43</v>
      </c>
      <c r="J581" s="1" t="s">
        <v>23</v>
      </c>
      <c r="K581" s="1" t="s">
        <v>39</v>
      </c>
      <c r="L581" s="1">
        <v>3648</v>
      </c>
      <c r="M581" s="3">
        <f t="shared" si="27"/>
        <v>0.109375</v>
      </c>
      <c r="N581" s="1">
        <v>399</v>
      </c>
      <c r="O581" s="4">
        <f t="shared" si="28"/>
        <v>4.0714285714285712</v>
      </c>
      <c r="P581" s="1">
        <v>98</v>
      </c>
      <c r="Q581" s="1">
        <v>377.77588489073997</v>
      </c>
      <c r="R581" s="1">
        <v>1562.6143501904501</v>
      </c>
      <c r="S581" s="5">
        <f t="shared" si="29"/>
        <v>1561.6143501904501</v>
      </c>
      <c r="T581" s="1">
        <v>39</v>
      </c>
      <c r="U581" s="1">
        <v>5</v>
      </c>
      <c r="V581" s="1">
        <v>2</v>
      </c>
      <c r="W581" s="1">
        <v>567</v>
      </c>
      <c r="X581" s="1">
        <v>0.80081825532345496</v>
      </c>
    </row>
    <row r="582" spans="1:24" x14ac:dyDescent="0.3">
      <c r="A582" s="2">
        <v>45314</v>
      </c>
      <c r="B582" s="1" t="s">
        <v>25</v>
      </c>
      <c r="C582" s="1" t="s">
        <v>26</v>
      </c>
      <c r="D582" s="1" t="s">
        <v>19</v>
      </c>
      <c r="E582" s="1" t="s">
        <v>28</v>
      </c>
      <c r="F582" s="1">
        <v>30</v>
      </c>
      <c r="G582" s="1" t="str" cm="1">
        <f t="array" ref="G582">_xlfn.IFS(F582&lt;=25,"YOUTH",F582&lt;=48,"ADULT",TRUE,"SENIOR")</f>
        <v>ADULT</v>
      </c>
      <c r="H582" s="1" t="s">
        <v>21</v>
      </c>
      <c r="I582" s="1" t="s">
        <v>22</v>
      </c>
      <c r="J582" s="1" t="s">
        <v>38</v>
      </c>
      <c r="K582" s="1" t="s">
        <v>39</v>
      </c>
      <c r="L582" s="1">
        <v>41081</v>
      </c>
      <c r="M582" s="3">
        <f t="shared" si="27"/>
        <v>7.1444219955697275E-2</v>
      </c>
      <c r="N582" s="1">
        <v>2935</v>
      </c>
      <c r="O582" s="4">
        <f t="shared" si="28"/>
        <v>4.2909356725146202</v>
      </c>
      <c r="P582" s="1">
        <v>684</v>
      </c>
      <c r="Q582" s="1">
        <v>5589.3383331483201</v>
      </c>
      <c r="R582" s="1">
        <v>37542.8647578237</v>
      </c>
      <c r="S582" s="5">
        <f t="shared" si="29"/>
        <v>37541.8647578237</v>
      </c>
      <c r="T582" s="1">
        <v>316</v>
      </c>
      <c r="U582" s="1">
        <v>22</v>
      </c>
      <c r="V582" s="1">
        <v>23</v>
      </c>
      <c r="W582" s="1">
        <v>3953</v>
      </c>
      <c r="X582" s="1">
        <v>0.947725131</v>
      </c>
    </row>
    <row r="583" spans="1:24" x14ac:dyDescent="0.3">
      <c r="A583" s="2">
        <v>45320</v>
      </c>
      <c r="B583" s="1" t="s">
        <v>25</v>
      </c>
      <c r="C583" s="1" t="s">
        <v>18</v>
      </c>
      <c r="D583" s="1" t="s">
        <v>19</v>
      </c>
      <c r="E583" s="1" t="s">
        <v>28</v>
      </c>
      <c r="F583" s="1">
        <v>45</v>
      </c>
      <c r="G583" s="1" t="str" cm="1">
        <f t="array" ref="G583">_xlfn.IFS(F583&lt;=25,"YOUTH",F583&lt;=48,"ADULT",TRUE,"SENIOR")</f>
        <v>ADULT</v>
      </c>
      <c r="H583" s="1" t="s">
        <v>21</v>
      </c>
      <c r="I583" s="1" t="s">
        <v>37</v>
      </c>
      <c r="J583" s="1" t="s">
        <v>38</v>
      </c>
      <c r="K583" s="1" t="s">
        <v>31</v>
      </c>
      <c r="L583" s="1">
        <v>19101</v>
      </c>
      <c r="M583" s="3">
        <f t="shared" si="27"/>
        <v>2.575781372703E-2</v>
      </c>
      <c r="N583" s="1">
        <v>492</v>
      </c>
      <c r="O583" s="4">
        <f t="shared" si="28"/>
        <v>11.181818181818182</v>
      </c>
      <c r="P583" s="1">
        <v>44</v>
      </c>
      <c r="Q583" s="1">
        <v>2579.2774829999998</v>
      </c>
      <c r="R583" s="1">
        <v>2363.4178134908502</v>
      </c>
      <c r="S583" s="5">
        <f t="shared" si="29"/>
        <v>2362.4178134908502</v>
      </c>
      <c r="T583" s="1">
        <v>401</v>
      </c>
      <c r="U583" s="1">
        <v>75</v>
      </c>
      <c r="V583" s="1">
        <v>16</v>
      </c>
      <c r="W583" s="1">
        <v>2478</v>
      </c>
      <c r="X583" s="1">
        <v>0.83839617499999997</v>
      </c>
    </row>
    <row r="584" spans="1:24" x14ac:dyDescent="0.3">
      <c r="A584" s="2">
        <v>45305</v>
      </c>
      <c r="B584" s="1" t="s">
        <v>40</v>
      </c>
      <c r="C584" s="1" t="s">
        <v>18</v>
      </c>
      <c r="D584" s="1" t="s">
        <v>19</v>
      </c>
      <c r="E584" s="1" t="s">
        <v>28</v>
      </c>
      <c r="F584" s="1">
        <v>37</v>
      </c>
      <c r="G584" s="1" t="str" cm="1">
        <f t="array" ref="G584">_xlfn.IFS(F584&lt;=25,"YOUTH",F584&lt;=48,"ADULT",TRUE,"SENIOR")</f>
        <v>ADULT</v>
      </c>
      <c r="H584" s="1" t="s">
        <v>21</v>
      </c>
      <c r="I584" s="1" t="s">
        <v>37</v>
      </c>
      <c r="J584" s="1" t="s">
        <v>23</v>
      </c>
      <c r="K584" s="1" t="s">
        <v>39</v>
      </c>
      <c r="L584" s="1">
        <v>46312</v>
      </c>
      <c r="M584" s="3">
        <f t="shared" si="27"/>
        <v>0.10880549317671445</v>
      </c>
      <c r="N584" s="1">
        <v>5039</v>
      </c>
      <c r="O584" s="4">
        <f t="shared" si="28"/>
        <v>21.908695652173915</v>
      </c>
      <c r="P584" s="1">
        <v>230</v>
      </c>
      <c r="Q584" s="1">
        <v>5137.8894769738899</v>
      </c>
      <c r="R584" s="1">
        <v>9213.2556623711498</v>
      </c>
      <c r="S584" s="5">
        <f t="shared" si="29"/>
        <v>9212.2556623711498</v>
      </c>
      <c r="T584" s="1">
        <v>837</v>
      </c>
      <c r="U584" s="1">
        <v>112</v>
      </c>
      <c r="V584" s="1">
        <v>38</v>
      </c>
      <c r="W584" s="1">
        <v>5210</v>
      </c>
      <c r="X584" s="1">
        <v>0.58800950231855098</v>
      </c>
    </row>
    <row r="585" spans="1:24" x14ac:dyDescent="0.3">
      <c r="A585" s="2">
        <v>45317</v>
      </c>
      <c r="B585" s="1" t="s">
        <v>34</v>
      </c>
      <c r="C585" s="1" t="s">
        <v>35</v>
      </c>
      <c r="D585" s="1" t="s">
        <v>36</v>
      </c>
      <c r="E585" s="1" t="s">
        <v>20</v>
      </c>
      <c r="F585" s="1">
        <v>45</v>
      </c>
      <c r="G585" s="1" t="str" cm="1">
        <f t="array" ref="G585">_xlfn.IFS(F585&lt;=25,"YOUTH",F585&lt;=48,"ADULT",TRUE,"SENIOR")</f>
        <v>ADULT</v>
      </c>
      <c r="H585" s="1" t="s">
        <v>42</v>
      </c>
      <c r="I585" s="1" t="s">
        <v>43</v>
      </c>
      <c r="J585" s="1" t="s">
        <v>30</v>
      </c>
      <c r="K585" s="1" t="s">
        <v>24</v>
      </c>
      <c r="L585" s="1">
        <v>22692</v>
      </c>
      <c r="M585" s="3">
        <f t="shared" si="27"/>
        <v>0.13762559492332099</v>
      </c>
      <c r="N585" s="1">
        <v>3123</v>
      </c>
      <c r="O585" s="4">
        <f t="shared" si="28"/>
        <v>4.6962406015037592</v>
      </c>
      <c r="P585" s="1">
        <v>665</v>
      </c>
      <c r="Q585" s="1">
        <v>1827.8434459110599</v>
      </c>
      <c r="R585" s="1">
        <v>40751.0329312006</v>
      </c>
      <c r="S585" s="5">
        <f t="shared" si="29"/>
        <v>40750.0329312006</v>
      </c>
      <c r="T585" s="1">
        <v>623</v>
      </c>
      <c r="U585" s="1">
        <v>61</v>
      </c>
      <c r="V585" s="1">
        <v>39</v>
      </c>
      <c r="W585" s="1">
        <v>452</v>
      </c>
      <c r="X585" s="1">
        <v>0.89532554534554298</v>
      </c>
    </row>
    <row r="586" spans="1:24" x14ac:dyDescent="0.3">
      <c r="A586" s="2">
        <v>45342</v>
      </c>
      <c r="B586" s="1" t="s">
        <v>17</v>
      </c>
      <c r="C586" s="1" t="s">
        <v>41</v>
      </c>
      <c r="D586" s="1" t="s">
        <v>19</v>
      </c>
      <c r="E586" s="1" t="s">
        <v>28</v>
      </c>
      <c r="F586" s="1">
        <v>25</v>
      </c>
      <c r="G586" s="1" t="str" cm="1">
        <f t="array" ref="G586">_xlfn.IFS(F586&lt;=25,"YOUTH",F586&lt;=48,"ADULT",TRUE,"SENIOR")</f>
        <v>YOUTH</v>
      </c>
      <c r="H586" s="1" t="s">
        <v>29</v>
      </c>
      <c r="I586" s="1" t="s">
        <v>22</v>
      </c>
      <c r="J586" s="1" t="s">
        <v>23</v>
      </c>
      <c r="K586" s="1" t="s">
        <v>31</v>
      </c>
      <c r="L586" s="1">
        <v>8407</v>
      </c>
      <c r="M586" s="3">
        <f t="shared" si="27"/>
        <v>0.10134411799690735</v>
      </c>
      <c r="N586" s="1">
        <v>852</v>
      </c>
      <c r="O586" s="4">
        <f t="shared" si="28"/>
        <v>4.0188679245283021</v>
      </c>
      <c r="P586" s="1">
        <v>212</v>
      </c>
      <c r="Q586" s="1">
        <v>727.74447638411596</v>
      </c>
      <c r="R586" s="1">
        <v>2880.9357511806702</v>
      </c>
      <c r="S586" s="5">
        <f t="shared" si="29"/>
        <v>2879.9357511806702</v>
      </c>
      <c r="T586" s="1">
        <v>194</v>
      </c>
      <c r="U586" s="1">
        <v>13</v>
      </c>
      <c r="V586" s="1">
        <v>6</v>
      </c>
      <c r="W586" s="1">
        <v>1270</v>
      </c>
      <c r="X586" s="1">
        <v>0.42814885461751501</v>
      </c>
    </row>
    <row r="587" spans="1:24" x14ac:dyDescent="0.3">
      <c r="A587" s="2">
        <v>45296</v>
      </c>
      <c r="B587" s="1" t="s">
        <v>17</v>
      </c>
      <c r="C587" s="1" t="s">
        <v>18</v>
      </c>
      <c r="D587" s="1" t="s">
        <v>36</v>
      </c>
      <c r="E587" s="1" t="s">
        <v>28</v>
      </c>
      <c r="F587" s="1">
        <v>58</v>
      </c>
      <c r="G587" s="1" t="str" cm="1">
        <f t="array" ref="G587">_xlfn.IFS(F587&lt;=25,"YOUTH",F587&lt;=48,"ADULT",TRUE,"SENIOR")</f>
        <v>SENIOR</v>
      </c>
      <c r="H587" s="1" t="s">
        <v>29</v>
      </c>
      <c r="I587" s="1" t="s">
        <v>37</v>
      </c>
      <c r="J587" s="1" t="s">
        <v>23</v>
      </c>
      <c r="K587" s="1" t="s">
        <v>31</v>
      </c>
      <c r="L587" s="1">
        <v>18254</v>
      </c>
      <c r="M587" s="3">
        <f t="shared" si="27"/>
        <v>0.1183302289909061</v>
      </c>
      <c r="N587" s="1">
        <v>2160</v>
      </c>
      <c r="O587" s="4">
        <f t="shared" si="28"/>
        <v>11.48936170212766</v>
      </c>
      <c r="P587" s="1">
        <v>188</v>
      </c>
      <c r="Q587" s="1">
        <v>689.991107718188</v>
      </c>
      <c r="R587" s="1">
        <v>8216.7534614545202</v>
      </c>
      <c r="S587" s="5">
        <f t="shared" si="29"/>
        <v>8215.7534614545202</v>
      </c>
      <c r="T587" s="1">
        <v>323</v>
      </c>
      <c r="U587" s="1">
        <v>34</v>
      </c>
      <c r="V587" s="1">
        <v>6</v>
      </c>
      <c r="W587" s="1">
        <v>780</v>
      </c>
      <c r="X587" s="1">
        <v>0.79875375344602095</v>
      </c>
    </row>
    <row r="588" spans="1:24" x14ac:dyDescent="0.3">
      <c r="A588" s="2">
        <v>45346</v>
      </c>
      <c r="B588" s="1" t="s">
        <v>40</v>
      </c>
      <c r="C588" s="1" t="s">
        <v>41</v>
      </c>
      <c r="D588" s="1" t="s">
        <v>19</v>
      </c>
      <c r="E588" s="1" t="s">
        <v>28</v>
      </c>
      <c r="F588" s="1">
        <v>56</v>
      </c>
      <c r="G588" s="1" t="str" cm="1">
        <f t="array" ref="G588">_xlfn.IFS(F588&lt;=25,"YOUTH",F588&lt;=48,"ADULT",TRUE,"SENIOR")</f>
        <v>SENIOR</v>
      </c>
      <c r="H588" s="1" t="s">
        <v>29</v>
      </c>
      <c r="I588" s="1" t="s">
        <v>33</v>
      </c>
      <c r="J588" s="1" t="s">
        <v>23</v>
      </c>
      <c r="K588" s="1" t="s">
        <v>31</v>
      </c>
      <c r="L588" s="1">
        <v>16234</v>
      </c>
      <c r="M588" s="3">
        <f t="shared" si="27"/>
        <v>6.0120734261426632E-2</v>
      </c>
      <c r="N588" s="1">
        <v>976</v>
      </c>
      <c r="O588" s="4">
        <f t="shared" si="28"/>
        <v>9.8585858585858581</v>
      </c>
      <c r="P588" s="1">
        <v>99</v>
      </c>
      <c r="Q588" s="1">
        <v>1044.3692936606201</v>
      </c>
      <c r="R588" s="1">
        <v>3386.5225428492199</v>
      </c>
      <c r="S588" s="5">
        <f t="shared" si="29"/>
        <v>3385.5225428492199</v>
      </c>
      <c r="T588" s="1">
        <v>244</v>
      </c>
      <c r="U588" s="1">
        <v>38</v>
      </c>
      <c r="V588" s="1">
        <v>15</v>
      </c>
      <c r="W588" s="1">
        <v>260</v>
      </c>
      <c r="X588" s="1">
        <v>0.41282728235947103</v>
      </c>
    </row>
    <row r="589" spans="1:24" x14ac:dyDescent="0.3">
      <c r="A589" s="2">
        <v>45322</v>
      </c>
      <c r="B589" s="1" t="s">
        <v>25</v>
      </c>
      <c r="C589" s="1" t="s">
        <v>26</v>
      </c>
      <c r="D589" s="1" t="s">
        <v>36</v>
      </c>
      <c r="E589" s="1" t="s">
        <v>28</v>
      </c>
      <c r="F589" s="1">
        <v>18</v>
      </c>
      <c r="G589" s="1" t="str" cm="1">
        <f t="array" ref="G589">_xlfn.IFS(F589&lt;=25,"YOUTH",F589&lt;=48,"ADULT",TRUE,"SENIOR")</f>
        <v>YOUTH</v>
      </c>
      <c r="H589" s="1" t="s">
        <v>21</v>
      </c>
      <c r="I589" s="1" t="s">
        <v>43</v>
      </c>
      <c r="J589" s="1" t="s">
        <v>23</v>
      </c>
      <c r="K589" s="1" t="s">
        <v>24</v>
      </c>
      <c r="L589" s="1">
        <v>23211</v>
      </c>
      <c r="M589" s="3">
        <f t="shared" si="27"/>
        <v>3.5629658351643619E-2</v>
      </c>
      <c r="N589" s="1">
        <v>827</v>
      </c>
      <c r="O589" s="4">
        <f t="shared" si="28"/>
        <v>4.2410256410256411</v>
      </c>
      <c r="P589" s="1">
        <v>195</v>
      </c>
      <c r="Q589" s="1">
        <v>1030.67632685075</v>
      </c>
      <c r="R589" s="1">
        <v>6327.5525301941598</v>
      </c>
      <c r="S589" s="5">
        <f t="shared" si="29"/>
        <v>6326.5525301941598</v>
      </c>
      <c r="T589" s="1">
        <v>350</v>
      </c>
      <c r="U589" s="1">
        <v>37</v>
      </c>
      <c r="V589" s="1">
        <v>20</v>
      </c>
      <c r="W589" s="1">
        <v>2221</v>
      </c>
      <c r="X589" s="1">
        <v>0.49600552244633</v>
      </c>
    </row>
    <row r="590" spans="1:24" x14ac:dyDescent="0.3">
      <c r="A590" s="2">
        <v>45316</v>
      </c>
      <c r="B590" s="1" t="s">
        <v>40</v>
      </c>
      <c r="C590" s="1" t="s">
        <v>18</v>
      </c>
      <c r="D590" s="1" t="s">
        <v>27</v>
      </c>
      <c r="E590" s="1" t="s">
        <v>20</v>
      </c>
      <c r="F590" s="1">
        <v>20</v>
      </c>
      <c r="G590" s="1" t="str" cm="1">
        <f t="array" ref="G590">_xlfn.IFS(F590&lt;=25,"YOUTH",F590&lt;=48,"ADULT",TRUE,"SENIOR")</f>
        <v>YOUTH</v>
      </c>
      <c r="H590" s="1" t="s">
        <v>21</v>
      </c>
      <c r="I590" s="1" t="s">
        <v>37</v>
      </c>
      <c r="J590" s="1" t="s">
        <v>38</v>
      </c>
      <c r="K590" s="1" t="s">
        <v>24</v>
      </c>
      <c r="L590" s="1">
        <v>30480</v>
      </c>
      <c r="M590" s="3">
        <f t="shared" si="27"/>
        <v>9.9967191601049873E-2</v>
      </c>
      <c r="N590" s="1">
        <v>3047</v>
      </c>
      <c r="O590" s="4">
        <f t="shared" si="28"/>
        <v>5.4508050089445437</v>
      </c>
      <c r="P590" s="1">
        <v>559</v>
      </c>
      <c r="Q590" s="1">
        <v>3863.5236857538598</v>
      </c>
      <c r="R590" s="1">
        <v>11971.8065245782</v>
      </c>
      <c r="S590" s="5">
        <f t="shared" si="29"/>
        <v>11970.8065245782</v>
      </c>
      <c r="T590" s="1">
        <v>324</v>
      </c>
      <c r="U590" s="1">
        <v>28</v>
      </c>
      <c r="V590" s="1">
        <v>23</v>
      </c>
      <c r="W590" s="1">
        <v>5317</v>
      </c>
      <c r="X590" s="1">
        <v>0.943172157846215</v>
      </c>
    </row>
    <row r="591" spans="1:24" x14ac:dyDescent="0.3">
      <c r="A591" s="2">
        <v>45322</v>
      </c>
      <c r="B591" s="1" t="s">
        <v>40</v>
      </c>
      <c r="C591" s="1" t="s">
        <v>35</v>
      </c>
      <c r="D591" s="1" t="s">
        <v>36</v>
      </c>
      <c r="E591" s="1" t="s">
        <v>20</v>
      </c>
      <c r="F591" s="1">
        <v>30</v>
      </c>
      <c r="G591" s="1" t="str" cm="1">
        <f t="array" ref="G591">_xlfn.IFS(F591&lt;=25,"YOUTH",F591&lt;=48,"ADULT",TRUE,"SENIOR")</f>
        <v>ADULT</v>
      </c>
      <c r="H591" s="1" t="s">
        <v>29</v>
      </c>
      <c r="I591" s="1" t="s">
        <v>33</v>
      </c>
      <c r="J591" s="1" t="s">
        <v>23</v>
      </c>
      <c r="K591" s="1" t="s">
        <v>31</v>
      </c>
      <c r="L591" s="1">
        <v>48780</v>
      </c>
      <c r="M591" s="3">
        <f t="shared" si="27"/>
        <v>5.5883558835588355E-2</v>
      </c>
      <c r="N591" s="1">
        <v>2726</v>
      </c>
      <c r="O591" s="4">
        <f t="shared" si="28"/>
        <v>11.405857740585773</v>
      </c>
      <c r="P591" s="1">
        <v>239</v>
      </c>
      <c r="Q591" s="1">
        <v>6776.4203899445301</v>
      </c>
      <c r="R591" s="1">
        <v>6978.3644685419204</v>
      </c>
      <c r="S591" s="5">
        <f t="shared" si="29"/>
        <v>6977.3644685419204</v>
      </c>
      <c r="T591" s="1">
        <v>265</v>
      </c>
      <c r="U591" s="1">
        <v>36</v>
      </c>
      <c r="V591" s="1">
        <v>8</v>
      </c>
      <c r="W591" s="1">
        <v>1885</v>
      </c>
      <c r="X591" s="1">
        <v>0.59848670187186803</v>
      </c>
    </row>
    <row r="592" spans="1:24" x14ac:dyDescent="0.3">
      <c r="A592" s="2">
        <v>45341</v>
      </c>
      <c r="B592" s="1" t="s">
        <v>40</v>
      </c>
      <c r="C592" s="1" t="s">
        <v>35</v>
      </c>
      <c r="D592" s="1" t="s">
        <v>36</v>
      </c>
      <c r="E592" s="1" t="s">
        <v>28</v>
      </c>
      <c r="F592" s="1">
        <v>45</v>
      </c>
      <c r="G592" s="1" t="str" cm="1">
        <f t="array" ref="G592">_xlfn.IFS(F592&lt;=25,"YOUTH",F592&lt;=48,"ADULT",TRUE,"SENIOR")</f>
        <v>ADULT</v>
      </c>
      <c r="H592" s="1" t="s">
        <v>21</v>
      </c>
      <c r="I592" s="1" t="s">
        <v>37</v>
      </c>
      <c r="J592" s="1" t="s">
        <v>23</v>
      </c>
      <c r="K592" s="1" t="s">
        <v>39</v>
      </c>
      <c r="L592" s="1">
        <v>25846</v>
      </c>
      <c r="M592" s="3">
        <f t="shared" si="27"/>
        <v>0.13038768087905286</v>
      </c>
      <c r="N592" s="1">
        <v>3370</v>
      </c>
      <c r="O592" s="4">
        <f t="shared" si="28"/>
        <v>6.5183752417794967</v>
      </c>
      <c r="P592" s="1">
        <v>517</v>
      </c>
      <c r="Q592" s="1">
        <v>2320.9714199063601</v>
      </c>
      <c r="R592" s="1">
        <v>6219.4061561752796</v>
      </c>
      <c r="S592" s="5">
        <f t="shared" si="29"/>
        <v>6218.4061561752796</v>
      </c>
      <c r="T592" s="1">
        <v>500</v>
      </c>
      <c r="U592" s="1">
        <v>56</v>
      </c>
      <c r="V592" s="1">
        <v>43</v>
      </c>
      <c r="W592" s="1">
        <v>321</v>
      </c>
      <c r="X592" s="1">
        <v>0.85127465799033097</v>
      </c>
    </row>
    <row r="593" spans="1:24" x14ac:dyDescent="0.3">
      <c r="A593" s="2">
        <v>45311</v>
      </c>
      <c r="B593" s="1" t="s">
        <v>40</v>
      </c>
      <c r="C593" s="1" t="s">
        <v>41</v>
      </c>
      <c r="D593" s="1" t="s">
        <v>32</v>
      </c>
      <c r="E593" s="1" t="s">
        <v>28</v>
      </c>
      <c r="F593" s="1">
        <v>42</v>
      </c>
      <c r="G593" s="1" t="str" cm="1">
        <f t="array" ref="G593">_xlfn.IFS(F593&lt;=25,"YOUTH",F593&lt;=48,"ADULT",TRUE,"SENIOR")</f>
        <v>ADULT</v>
      </c>
      <c r="H593" s="1" t="s">
        <v>29</v>
      </c>
      <c r="I593" s="1" t="s">
        <v>33</v>
      </c>
      <c r="J593" s="1" t="s">
        <v>23</v>
      </c>
      <c r="K593" s="1" t="s">
        <v>39</v>
      </c>
      <c r="L593" s="1">
        <v>43503</v>
      </c>
      <c r="M593" s="3">
        <f t="shared" si="27"/>
        <v>2.7147553042318921E-2</v>
      </c>
      <c r="N593" s="1">
        <v>1181</v>
      </c>
      <c r="O593" s="4">
        <f t="shared" si="28"/>
        <v>4.2178571428571425</v>
      </c>
      <c r="P593" s="1">
        <v>280</v>
      </c>
      <c r="Q593" s="1">
        <v>4985.8494770764901</v>
      </c>
      <c r="R593" s="1">
        <v>5979.1012497198099</v>
      </c>
      <c r="S593" s="5">
        <f t="shared" si="29"/>
        <v>5978.1012497198099</v>
      </c>
      <c r="T593" s="1">
        <v>448</v>
      </c>
      <c r="U593" s="1">
        <v>33</v>
      </c>
      <c r="V593" s="1">
        <v>14</v>
      </c>
      <c r="W593" s="1">
        <v>1344</v>
      </c>
      <c r="X593" s="1">
        <v>0.606847692059581</v>
      </c>
    </row>
    <row r="594" spans="1:24" x14ac:dyDescent="0.3">
      <c r="A594" s="2">
        <v>45335</v>
      </c>
      <c r="B594" s="1" t="s">
        <v>34</v>
      </c>
      <c r="C594" s="1" t="s">
        <v>26</v>
      </c>
      <c r="D594" s="1" t="s">
        <v>19</v>
      </c>
      <c r="E594" s="1" t="s">
        <v>28</v>
      </c>
      <c r="F594" s="1">
        <v>50</v>
      </c>
      <c r="G594" s="1" t="str" cm="1">
        <f t="array" ref="G594">_xlfn.IFS(F594&lt;=25,"YOUTH",F594&lt;=48,"ADULT",TRUE,"SENIOR")</f>
        <v>SENIOR</v>
      </c>
      <c r="H594" s="1" t="s">
        <v>21</v>
      </c>
      <c r="I594" s="1" t="s">
        <v>43</v>
      </c>
      <c r="J594" s="1" t="s">
        <v>38</v>
      </c>
      <c r="K594" s="1" t="s">
        <v>39</v>
      </c>
      <c r="L594" s="1">
        <v>47193</v>
      </c>
      <c r="M594" s="3">
        <f t="shared" si="27"/>
        <v>7.0667259974996288E-2</v>
      </c>
      <c r="N594" s="1">
        <v>3335</v>
      </c>
      <c r="O594" s="4">
        <f t="shared" si="28"/>
        <v>4.8403483309143684</v>
      </c>
      <c r="P594" s="1">
        <v>689</v>
      </c>
      <c r="Q594" s="1">
        <v>1689.0573013446001</v>
      </c>
      <c r="R594" s="1">
        <v>15624.9573518414</v>
      </c>
      <c r="S594" s="5">
        <f t="shared" si="29"/>
        <v>15623.9573518414</v>
      </c>
      <c r="T594" s="1">
        <v>481</v>
      </c>
      <c r="U594" s="1">
        <v>35</v>
      </c>
      <c r="V594" s="1">
        <v>43</v>
      </c>
      <c r="W594" s="1">
        <v>3732</v>
      </c>
      <c r="X594" s="1">
        <v>0.86201564793879804</v>
      </c>
    </row>
    <row r="595" spans="1:24" x14ac:dyDescent="0.3">
      <c r="A595" s="2">
        <v>45346</v>
      </c>
      <c r="B595" s="1" t="s">
        <v>34</v>
      </c>
      <c r="C595" s="1" t="s">
        <v>41</v>
      </c>
      <c r="D595" s="1" t="s">
        <v>27</v>
      </c>
      <c r="E595" s="1" t="s">
        <v>20</v>
      </c>
      <c r="F595" s="1">
        <v>55</v>
      </c>
      <c r="G595" s="1" t="str" cm="1">
        <f t="array" ref="G595">_xlfn.IFS(F595&lt;=25,"YOUTH",F595&lt;=48,"ADULT",TRUE,"SENIOR")</f>
        <v>SENIOR</v>
      </c>
      <c r="H595" s="1" t="s">
        <v>21</v>
      </c>
      <c r="I595" s="1" t="s">
        <v>37</v>
      </c>
      <c r="J595" s="1" t="s">
        <v>23</v>
      </c>
      <c r="K595" s="1" t="s">
        <v>31</v>
      </c>
      <c r="L595" s="1">
        <v>49466</v>
      </c>
      <c r="M595" s="3">
        <f t="shared" si="27"/>
        <v>6.5539966845914371E-2</v>
      </c>
      <c r="N595" s="1">
        <v>3242</v>
      </c>
      <c r="O595" s="4">
        <f t="shared" si="28"/>
        <v>5.2544570502431123</v>
      </c>
      <c r="P595" s="1">
        <v>617</v>
      </c>
      <c r="Q595" s="1">
        <v>4902.5507063657396</v>
      </c>
      <c r="R595" s="1">
        <v>31987.384824488799</v>
      </c>
      <c r="S595" s="5">
        <f t="shared" si="29"/>
        <v>31986.384824488799</v>
      </c>
      <c r="T595" s="1">
        <v>402</v>
      </c>
      <c r="U595" s="1">
        <v>62</v>
      </c>
      <c r="V595" s="1">
        <v>22</v>
      </c>
      <c r="W595" s="1">
        <v>5947</v>
      </c>
      <c r="X595" s="1">
        <v>0.93099175806972501</v>
      </c>
    </row>
    <row r="596" spans="1:24" x14ac:dyDescent="0.3">
      <c r="A596" s="2">
        <v>45308</v>
      </c>
      <c r="B596" s="1" t="s">
        <v>25</v>
      </c>
      <c r="C596" s="1" t="s">
        <v>26</v>
      </c>
      <c r="D596" s="1" t="s">
        <v>32</v>
      </c>
      <c r="E596" s="1" t="s">
        <v>20</v>
      </c>
      <c r="F596" s="1">
        <v>23</v>
      </c>
      <c r="G596" s="1" t="str" cm="1">
        <f t="array" ref="G596">_xlfn.IFS(F596&lt;=25,"YOUTH",F596&lt;=48,"ADULT",TRUE,"SENIOR")</f>
        <v>YOUTH</v>
      </c>
      <c r="H596" s="1" t="s">
        <v>29</v>
      </c>
      <c r="I596" s="1" t="s">
        <v>37</v>
      </c>
      <c r="J596" s="1" t="s">
        <v>23</v>
      </c>
      <c r="K596" s="1" t="s">
        <v>31</v>
      </c>
      <c r="L596" s="1">
        <v>16321</v>
      </c>
      <c r="M596" s="3">
        <f t="shared" si="27"/>
        <v>0.14129036211016482</v>
      </c>
      <c r="N596" s="1">
        <v>2306</v>
      </c>
      <c r="O596" s="4">
        <f t="shared" si="28"/>
        <v>5.276887871853547</v>
      </c>
      <c r="P596" s="1">
        <v>437</v>
      </c>
      <c r="Q596" s="1">
        <v>1817.5527937880099</v>
      </c>
      <c r="R596" s="1">
        <v>3564.0748848677499</v>
      </c>
      <c r="S596" s="5">
        <f t="shared" si="29"/>
        <v>3563.0748848677499</v>
      </c>
      <c r="T596" s="1">
        <v>158</v>
      </c>
      <c r="U596" s="1">
        <v>30</v>
      </c>
      <c r="V596" s="1">
        <v>10</v>
      </c>
      <c r="W596" s="1">
        <v>761</v>
      </c>
      <c r="X596" s="1">
        <v>0.63954493388054101</v>
      </c>
    </row>
    <row r="597" spans="1:24" x14ac:dyDescent="0.3">
      <c r="A597" s="2">
        <v>45336</v>
      </c>
      <c r="B597" s="1" t="s">
        <v>40</v>
      </c>
      <c r="C597" s="1" t="s">
        <v>35</v>
      </c>
      <c r="D597" s="1" t="s">
        <v>19</v>
      </c>
      <c r="E597" s="1" t="s">
        <v>20</v>
      </c>
      <c r="F597" s="1">
        <v>49</v>
      </c>
      <c r="G597" s="1" t="str" cm="1">
        <f t="array" ref="G597">_xlfn.IFS(F597&lt;=25,"YOUTH",F597&lt;=48,"ADULT",TRUE,"SENIOR")</f>
        <v>SENIOR</v>
      </c>
      <c r="H597" s="1" t="s">
        <v>21</v>
      </c>
      <c r="I597" s="1" t="s">
        <v>22</v>
      </c>
      <c r="J597" s="1" t="s">
        <v>38</v>
      </c>
      <c r="K597" s="1" t="s">
        <v>31</v>
      </c>
      <c r="L597" s="1">
        <v>13646</v>
      </c>
      <c r="M597" s="3">
        <f t="shared" si="27"/>
        <v>3.1437783965997362E-2</v>
      </c>
      <c r="N597" s="1">
        <v>429</v>
      </c>
      <c r="O597" s="4">
        <f t="shared" si="28"/>
        <v>16.5</v>
      </c>
      <c r="P597" s="1">
        <v>26</v>
      </c>
      <c r="Q597" s="1">
        <v>1076.1216063906299</v>
      </c>
      <c r="R597" s="1">
        <v>1230.5150007749501</v>
      </c>
      <c r="S597" s="5">
        <f t="shared" si="29"/>
        <v>1229.5150007749501</v>
      </c>
      <c r="T597" s="1">
        <v>79</v>
      </c>
      <c r="U597" s="1">
        <v>6</v>
      </c>
      <c r="V597" s="1">
        <v>7</v>
      </c>
      <c r="W597" s="1">
        <v>2215</v>
      </c>
      <c r="X597" s="1">
        <v>0.70764205551655301</v>
      </c>
    </row>
    <row r="598" spans="1:24" x14ac:dyDescent="0.3">
      <c r="A598" s="2">
        <v>45293</v>
      </c>
      <c r="B598" s="1" t="s">
        <v>34</v>
      </c>
      <c r="C598" s="1" t="s">
        <v>41</v>
      </c>
      <c r="D598" s="1" t="s">
        <v>27</v>
      </c>
      <c r="E598" s="1" t="s">
        <v>28</v>
      </c>
      <c r="F598" s="1">
        <v>38</v>
      </c>
      <c r="G598" s="1" t="str" cm="1">
        <f t="array" ref="G598">_xlfn.IFS(F598&lt;=25,"YOUTH",F598&lt;=48,"ADULT",TRUE,"SENIOR")</f>
        <v>ADULT</v>
      </c>
      <c r="H598" s="1" t="s">
        <v>29</v>
      </c>
      <c r="I598" s="1" t="s">
        <v>43</v>
      </c>
      <c r="J598" s="1" t="s">
        <v>38</v>
      </c>
      <c r="K598" s="1" t="s">
        <v>39</v>
      </c>
      <c r="L598" s="1">
        <v>23117</v>
      </c>
      <c r="M598" s="3">
        <f t="shared" si="27"/>
        <v>1.1376908768438811E-2</v>
      </c>
      <c r="N598" s="1">
        <v>263</v>
      </c>
      <c r="O598" s="4">
        <f t="shared" si="28"/>
        <v>4.7818181818181822</v>
      </c>
      <c r="P598" s="1">
        <v>55</v>
      </c>
      <c r="Q598" s="1">
        <v>1193.4267061821799</v>
      </c>
      <c r="R598" s="1">
        <v>1066.54042751065</v>
      </c>
      <c r="S598" s="5">
        <f t="shared" si="29"/>
        <v>1065.54042751065</v>
      </c>
      <c r="T598" s="1">
        <v>505</v>
      </c>
      <c r="U598" s="1">
        <v>83</v>
      </c>
      <c r="V598" s="1">
        <v>22</v>
      </c>
      <c r="W598" s="1">
        <v>3539</v>
      </c>
      <c r="X598" s="1">
        <v>0.74575171947996199</v>
      </c>
    </row>
    <row r="599" spans="1:24" x14ac:dyDescent="0.3">
      <c r="A599" s="2">
        <v>45316</v>
      </c>
      <c r="B599" s="1" t="s">
        <v>25</v>
      </c>
      <c r="C599" s="1" t="s">
        <v>35</v>
      </c>
      <c r="D599" s="1" t="s">
        <v>27</v>
      </c>
      <c r="E599" s="1" t="s">
        <v>20</v>
      </c>
      <c r="F599" s="1">
        <v>33</v>
      </c>
      <c r="G599" s="1" t="str" cm="1">
        <f t="array" ref="G599">_xlfn.IFS(F599&lt;=25,"YOUTH",F599&lt;=48,"ADULT",TRUE,"SENIOR")</f>
        <v>ADULT</v>
      </c>
      <c r="H599" s="1" t="s">
        <v>29</v>
      </c>
      <c r="I599" s="1" t="s">
        <v>33</v>
      </c>
      <c r="J599" s="1" t="s">
        <v>23</v>
      </c>
      <c r="K599" s="1" t="s">
        <v>31</v>
      </c>
      <c r="L599" s="1">
        <v>5893</v>
      </c>
      <c r="M599" s="3">
        <f t="shared" si="27"/>
        <v>4.3271678262345153E-2</v>
      </c>
      <c r="N599" s="1">
        <v>255</v>
      </c>
      <c r="O599" s="4">
        <f t="shared" si="28"/>
        <v>12.142857142857142</v>
      </c>
      <c r="P599" s="1">
        <v>21</v>
      </c>
      <c r="Q599" s="1">
        <v>790.00784644155397</v>
      </c>
      <c r="R599" s="1">
        <v>216.740955575741</v>
      </c>
      <c r="S599" s="5">
        <f t="shared" si="29"/>
        <v>215.740955575741</v>
      </c>
      <c r="T599" s="1">
        <v>88</v>
      </c>
      <c r="U599" s="1">
        <v>5</v>
      </c>
      <c r="V599" s="1">
        <v>3</v>
      </c>
      <c r="W599" s="1">
        <v>838</v>
      </c>
      <c r="X599" s="1">
        <v>0.91415914119637898</v>
      </c>
    </row>
    <row r="600" spans="1:24" x14ac:dyDescent="0.3">
      <c r="A600" s="2">
        <v>45304</v>
      </c>
      <c r="B600" s="1" t="s">
        <v>40</v>
      </c>
      <c r="C600" s="1" t="s">
        <v>35</v>
      </c>
      <c r="D600" s="1" t="s">
        <v>27</v>
      </c>
      <c r="E600" s="1" t="s">
        <v>20</v>
      </c>
      <c r="F600" s="1">
        <v>38</v>
      </c>
      <c r="G600" s="1" t="str" cm="1">
        <f t="array" ref="G600">_xlfn.IFS(F600&lt;=25,"YOUTH",F600&lt;=48,"ADULT",TRUE,"SENIOR")</f>
        <v>ADULT</v>
      </c>
      <c r="H600" s="1" t="s">
        <v>29</v>
      </c>
      <c r="I600" s="1" t="s">
        <v>37</v>
      </c>
      <c r="J600" s="1" t="s">
        <v>38</v>
      </c>
      <c r="K600" s="1" t="s">
        <v>24</v>
      </c>
      <c r="L600" s="1">
        <v>10476</v>
      </c>
      <c r="M600" s="3">
        <f t="shared" si="27"/>
        <v>0.12476135929744177</v>
      </c>
      <c r="N600" s="1">
        <v>1307</v>
      </c>
      <c r="O600" s="4">
        <f t="shared" si="28"/>
        <v>4.2852459016393443</v>
      </c>
      <c r="P600" s="1">
        <v>305</v>
      </c>
      <c r="Q600" s="1">
        <v>1221.27252753057</v>
      </c>
      <c r="R600" s="1">
        <v>7488.4821435187296</v>
      </c>
      <c r="S600" s="5">
        <f t="shared" si="29"/>
        <v>7487.4821435187296</v>
      </c>
      <c r="T600" s="1">
        <v>199</v>
      </c>
      <c r="U600" s="1">
        <v>21</v>
      </c>
      <c r="V600" s="1">
        <v>11</v>
      </c>
      <c r="W600" s="1">
        <v>1075</v>
      </c>
      <c r="X600" s="1">
        <v>0.54120924808900595</v>
      </c>
    </row>
    <row r="601" spans="1:24" x14ac:dyDescent="0.3">
      <c r="A601" s="2">
        <v>45349</v>
      </c>
      <c r="B601" s="1" t="s">
        <v>17</v>
      </c>
      <c r="C601" s="1" t="s">
        <v>26</v>
      </c>
      <c r="D601" s="1" t="s">
        <v>19</v>
      </c>
      <c r="E601" s="1" t="s">
        <v>20</v>
      </c>
      <c r="F601" s="1">
        <v>28</v>
      </c>
      <c r="G601" s="1" t="str" cm="1">
        <f t="array" ref="G601">_xlfn.IFS(F601&lt;=25,"YOUTH",F601&lt;=48,"ADULT",TRUE,"SENIOR")</f>
        <v>ADULT</v>
      </c>
      <c r="H601" s="1" t="s">
        <v>29</v>
      </c>
      <c r="I601" s="1" t="s">
        <v>37</v>
      </c>
      <c r="J601" s="1" t="s">
        <v>38</v>
      </c>
      <c r="K601" s="1" t="s">
        <v>31</v>
      </c>
      <c r="L601" s="1">
        <v>18270</v>
      </c>
      <c r="M601" s="3">
        <f t="shared" si="27"/>
        <v>3.9299397920087575E-2</v>
      </c>
      <c r="N601" s="1">
        <v>718</v>
      </c>
      <c r="O601" s="4">
        <f t="shared" si="28"/>
        <v>9.7027027027027035</v>
      </c>
      <c r="P601" s="1">
        <v>74</v>
      </c>
      <c r="Q601" s="1">
        <v>2502.6510301200201</v>
      </c>
      <c r="R601" s="1">
        <v>1449.7145019515699</v>
      </c>
      <c r="S601" s="5">
        <f t="shared" si="29"/>
        <v>1448.7145019515699</v>
      </c>
      <c r="T601" s="1">
        <v>382</v>
      </c>
      <c r="U601" s="1">
        <v>48</v>
      </c>
      <c r="V601" s="1">
        <v>15</v>
      </c>
      <c r="W601" s="1">
        <v>1450</v>
      </c>
      <c r="X601" s="1">
        <v>0.73618715505854904</v>
      </c>
    </row>
    <row r="602" spans="1:24" x14ac:dyDescent="0.3">
      <c r="A602" s="2">
        <v>45330</v>
      </c>
      <c r="B602" s="1" t="s">
        <v>34</v>
      </c>
      <c r="C602" s="1" t="s">
        <v>41</v>
      </c>
      <c r="D602" s="1" t="s">
        <v>27</v>
      </c>
      <c r="E602" s="1" t="s">
        <v>20</v>
      </c>
      <c r="F602" s="1">
        <v>54</v>
      </c>
      <c r="G602" s="1" t="str" cm="1">
        <f t="array" ref="G602">_xlfn.IFS(F602&lt;=25,"YOUTH",F602&lt;=48,"ADULT",TRUE,"SENIOR")</f>
        <v>SENIOR</v>
      </c>
      <c r="H602" s="1" t="s">
        <v>29</v>
      </c>
      <c r="I602" s="1" t="s">
        <v>33</v>
      </c>
      <c r="J602" s="1" t="s">
        <v>38</v>
      </c>
      <c r="K602" s="1" t="s">
        <v>31</v>
      </c>
      <c r="L602" s="1">
        <v>22702</v>
      </c>
      <c r="M602" s="3">
        <f t="shared" si="27"/>
        <v>4.3696590608756941E-2</v>
      </c>
      <c r="N602" s="1">
        <v>992</v>
      </c>
      <c r="O602" s="4">
        <f t="shared" si="28"/>
        <v>4.6139534883720934</v>
      </c>
      <c r="P602" s="1">
        <v>215</v>
      </c>
      <c r="Q602" s="1">
        <v>2869.3589974544202</v>
      </c>
      <c r="R602" s="1">
        <v>8789.6524523618991</v>
      </c>
      <c r="S602" s="5">
        <f t="shared" si="29"/>
        <v>8788.6524523618991</v>
      </c>
      <c r="T602" s="1">
        <v>665</v>
      </c>
      <c r="U602" s="1">
        <v>60</v>
      </c>
      <c r="V602" s="1">
        <v>41</v>
      </c>
      <c r="W602" s="1">
        <v>1847</v>
      </c>
      <c r="X602" s="1">
        <v>0.57859612552272799</v>
      </c>
    </row>
    <row r="603" spans="1:24" x14ac:dyDescent="0.3">
      <c r="A603" s="2">
        <v>45319</v>
      </c>
      <c r="B603" s="1" t="s">
        <v>25</v>
      </c>
      <c r="C603" s="1" t="s">
        <v>41</v>
      </c>
      <c r="D603" s="1" t="s">
        <v>27</v>
      </c>
      <c r="E603" s="1" t="s">
        <v>20</v>
      </c>
      <c r="F603" s="1">
        <v>53</v>
      </c>
      <c r="G603" s="1" t="str" cm="1">
        <f t="array" ref="G603">_xlfn.IFS(F603&lt;=25,"YOUTH",F603&lt;=48,"ADULT",TRUE,"SENIOR")</f>
        <v>SENIOR</v>
      </c>
      <c r="H603" s="1" t="s">
        <v>21</v>
      </c>
      <c r="I603" s="1" t="s">
        <v>43</v>
      </c>
      <c r="J603" s="1" t="s">
        <v>23</v>
      </c>
      <c r="K603" s="1" t="s">
        <v>39</v>
      </c>
      <c r="L603" s="1">
        <v>5382</v>
      </c>
      <c r="M603" s="3">
        <f t="shared" si="27"/>
        <v>2.8056484578223708E-2</v>
      </c>
      <c r="N603" s="1">
        <v>151</v>
      </c>
      <c r="O603" s="4">
        <f t="shared" si="28"/>
        <v>12.583333333333334</v>
      </c>
      <c r="P603" s="1">
        <v>12</v>
      </c>
      <c r="Q603" s="1">
        <v>800.56537339914598</v>
      </c>
      <c r="R603" s="1">
        <v>338.75359468941002</v>
      </c>
      <c r="S603" s="5">
        <f t="shared" si="29"/>
        <v>337.75359468941002</v>
      </c>
      <c r="T603" s="1">
        <v>36</v>
      </c>
      <c r="U603" s="1">
        <v>4</v>
      </c>
      <c r="V603" s="1">
        <v>1</v>
      </c>
      <c r="W603" s="1">
        <v>568</v>
      </c>
      <c r="X603" s="1">
        <v>0.51931324910033005</v>
      </c>
    </row>
    <row r="604" spans="1:24" x14ac:dyDescent="0.3">
      <c r="A604" s="2">
        <v>45333</v>
      </c>
      <c r="B604" s="1" t="s">
        <v>17</v>
      </c>
      <c r="C604" s="1" t="s">
        <v>35</v>
      </c>
      <c r="D604" s="1" t="s">
        <v>32</v>
      </c>
      <c r="E604" s="1" t="s">
        <v>28</v>
      </c>
      <c r="F604" s="1">
        <v>52</v>
      </c>
      <c r="G604" s="1" t="str" cm="1">
        <f t="array" ref="G604">_xlfn.IFS(F604&lt;=25,"YOUTH",F604&lt;=48,"ADULT",TRUE,"SENIOR")</f>
        <v>SENIOR</v>
      </c>
      <c r="H604" s="1" t="s">
        <v>21</v>
      </c>
      <c r="I604" s="1" t="s">
        <v>22</v>
      </c>
      <c r="J604" s="1" t="s">
        <v>23</v>
      </c>
      <c r="K604" s="1" t="s">
        <v>39</v>
      </c>
      <c r="L604" s="1">
        <v>2785</v>
      </c>
      <c r="M604" s="3">
        <f t="shared" si="27"/>
        <v>0.10987432675044884</v>
      </c>
      <c r="N604" s="1">
        <v>306</v>
      </c>
      <c r="O604" s="4">
        <f t="shared" si="28"/>
        <v>7.2857142857142856</v>
      </c>
      <c r="P604" s="1">
        <v>42</v>
      </c>
      <c r="Q604" s="1">
        <v>125.276138060291</v>
      </c>
      <c r="R604" s="1">
        <v>2847.1629170000001</v>
      </c>
      <c r="S604" s="5">
        <f t="shared" si="29"/>
        <v>2846.1629170000001</v>
      </c>
      <c r="T604" s="1">
        <v>43</v>
      </c>
      <c r="U604" s="1">
        <v>7</v>
      </c>
      <c r="V604" s="1">
        <v>3</v>
      </c>
      <c r="W604" s="1">
        <v>68</v>
      </c>
      <c r="X604" s="1">
        <v>0.446706186462767</v>
      </c>
    </row>
    <row r="605" spans="1:24" x14ac:dyDescent="0.3">
      <c r="A605" s="2">
        <v>45346</v>
      </c>
      <c r="B605" s="1" t="s">
        <v>40</v>
      </c>
      <c r="C605" s="1" t="s">
        <v>35</v>
      </c>
      <c r="D605" s="1" t="s">
        <v>36</v>
      </c>
      <c r="E605" s="1" t="s">
        <v>28</v>
      </c>
      <c r="F605" s="1">
        <v>36</v>
      </c>
      <c r="G605" s="1" t="str" cm="1">
        <f t="array" ref="G605">_xlfn.IFS(F605&lt;=25,"YOUTH",F605&lt;=48,"ADULT",TRUE,"SENIOR")</f>
        <v>ADULT</v>
      </c>
      <c r="H605" s="1" t="s">
        <v>21</v>
      </c>
      <c r="I605" s="1" t="s">
        <v>22</v>
      </c>
      <c r="J605" s="1" t="s">
        <v>23</v>
      </c>
      <c r="K605" s="1" t="s">
        <v>31</v>
      </c>
      <c r="L605" s="1">
        <v>46798</v>
      </c>
      <c r="M605" s="3">
        <f t="shared" si="27"/>
        <v>1.9680328219154664E-2</v>
      </c>
      <c r="N605" s="1">
        <v>921</v>
      </c>
      <c r="O605" s="4">
        <f t="shared" si="28"/>
        <v>22.463414634146343</v>
      </c>
      <c r="P605" s="1">
        <v>41</v>
      </c>
      <c r="Q605" s="1">
        <v>1463.71086489974</v>
      </c>
      <c r="R605" s="1">
        <v>2772.8596823766102</v>
      </c>
      <c r="S605" s="5">
        <f t="shared" si="29"/>
        <v>2771.8596823766102</v>
      </c>
      <c r="T605" s="1">
        <v>521</v>
      </c>
      <c r="U605" s="1">
        <v>99</v>
      </c>
      <c r="V605" s="1">
        <v>35</v>
      </c>
      <c r="W605" s="1">
        <v>6534</v>
      </c>
      <c r="X605" s="1">
        <v>0.74139097505477103</v>
      </c>
    </row>
    <row r="606" spans="1:24" x14ac:dyDescent="0.3">
      <c r="A606" s="2">
        <v>45297</v>
      </c>
      <c r="B606" s="1" t="s">
        <v>40</v>
      </c>
      <c r="C606" s="1" t="s">
        <v>26</v>
      </c>
      <c r="D606" s="1" t="s">
        <v>19</v>
      </c>
      <c r="E606" s="1" t="s">
        <v>28</v>
      </c>
      <c r="F606" s="1">
        <v>37</v>
      </c>
      <c r="G606" s="1" t="str" cm="1">
        <f t="array" ref="G606">_xlfn.IFS(F606&lt;=25,"YOUTH",F606&lt;=48,"ADULT",TRUE,"SENIOR")</f>
        <v>ADULT</v>
      </c>
      <c r="H606" s="1" t="s">
        <v>29</v>
      </c>
      <c r="I606" s="1" t="s">
        <v>37</v>
      </c>
      <c r="J606" s="1" t="s">
        <v>23</v>
      </c>
      <c r="K606" s="1" t="s">
        <v>31</v>
      </c>
      <c r="L606" s="1">
        <v>12735</v>
      </c>
      <c r="M606" s="3">
        <f t="shared" si="27"/>
        <v>5.6301531213191994E-2</v>
      </c>
      <c r="N606" s="1">
        <v>717</v>
      </c>
      <c r="O606" s="4">
        <f t="shared" si="28"/>
        <v>5.8292682926829267</v>
      </c>
      <c r="P606" s="1">
        <v>123</v>
      </c>
      <c r="Q606" s="1">
        <v>812.62497119839804</v>
      </c>
      <c r="R606" s="1">
        <v>4162.5035766163101</v>
      </c>
      <c r="S606" s="5">
        <f t="shared" si="29"/>
        <v>4161.5035766163101</v>
      </c>
      <c r="T606" s="1">
        <v>215</v>
      </c>
      <c r="U606" s="1">
        <v>13</v>
      </c>
      <c r="V606" s="1">
        <v>4</v>
      </c>
      <c r="W606" s="1">
        <v>977</v>
      </c>
      <c r="X606" s="1">
        <v>0.88514701337936197</v>
      </c>
    </row>
    <row r="607" spans="1:24" x14ac:dyDescent="0.3">
      <c r="A607" s="2">
        <v>45294</v>
      </c>
      <c r="B607" s="1" t="s">
        <v>40</v>
      </c>
      <c r="C607" s="1" t="s">
        <v>18</v>
      </c>
      <c r="D607" s="1" t="s">
        <v>36</v>
      </c>
      <c r="E607" s="1" t="s">
        <v>28</v>
      </c>
      <c r="F607" s="1">
        <v>35</v>
      </c>
      <c r="G607" s="1" t="str" cm="1">
        <f t="array" ref="G607">_xlfn.IFS(F607&lt;=25,"YOUTH",F607&lt;=48,"ADULT",TRUE,"SENIOR")</f>
        <v>ADULT</v>
      </c>
      <c r="H607" s="1" t="s">
        <v>21</v>
      </c>
      <c r="I607" s="1" t="s">
        <v>33</v>
      </c>
      <c r="J607" s="1" t="s">
        <v>23</v>
      </c>
      <c r="K607" s="1" t="s">
        <v>24</v>
      </c>
      <c r="L607" s="1">
        <v>31177</v>
      </c>
      <c r="M607" s="3">
        <f t="shared" si="27"/>
        <v>4.9523687333611316E-2</v>
      </c>
      <c r="N607" s="1">
        <v>1544</v>
      </c>
      <c r="O607" s="4">
        <f t="shared" si="28"/>
        <v>4.7217125382263001</v>
      </c>
      <c r="P607" s="1">
        <v>327</v>
      </c>
      <c r="Q607" s="1">
        <v>1146.39521141101</v>
      </c>
      <c r="R607" s="1">
        <v>18534.583976333801</v>
      </c>
      <c r="S607" s="5">
        <f t="shared" si="29"/>
        <v>18533.583976333801</v>
      </c>
      <c r="T607" s="1">
        <v>873</v>
      </c>
      <c r="U607" s="1">
        <v>79</v>
      </c>
      <c r="V607" s="1">
        <v>73</v>
      </c>
      <c r="W607" s="1">
        <v>1643</v>
      </c>
      <c r="X607" s="1">
        <v>0.593266089</v>
      </c>
    </row>
    <row r="608" spans="1:24" x14ac:dyDescent="0.3">
      <c r="A608" s="2">
        <v>45349</v>
      </c>
      <c r="B608" s="1" t="s">
        <v>34</v>
      </c>
      <c r="C608" s="1" t="s">
        <v>18</v>
      </c>
      <c r="D608" s="1" t="s">
        <v>32</v>
      </c>
      <c r="E608" s="1" t="s">
        <v>20</v>
      </c>
      <c r="F608" s="1">
        <v>58</v>
      </c>
      <c r="G608" s="1" t="str" cm="1">
        <f t="array" ref="G608">_xlfn.IFS(F608&lt;=25,"YOUTH",F608&lt;=48,"ADULT",TRUE,"SENIOR")</f>
        <v>SENIOR</v>
      </c>
      <c r="H608" s="1" t="s">
        <v>29</v>
      </c>
      <c r="I608" s="1" t="s">
        <v>37</v>
      </c>
      <c r="J608" s="1" t="s">
        <v>23</v>
      </c>
      <c r="K608" s="1" t="s">
        <v>31</v>
      </c>
      <c r="L608" s="1">
        <v>31712</v>
      </c>
      <c r="M608" s="3">
        <f t="shared" si="27"/>
        <v>8.7695509586276491E-2</v>
      </c>
      <c r="N608" s="1">
        <v>2781</v>
      </c>
      <c r="O608" s="4">
        <f t="shared" si="28"/>
        <v>5.4</v>
      </c>
      <c r="P608" s="1">
        <v>515</v>
      </c>
      <c r="Q608" s="1">
        <v>2790.8752782626798</v>
      </c>
      <c r="R608" s="1">
        <v>3019.1644053177902</v>
      </c>
      <c r="S608" s="5">
        <f t="shared" si="29"/>
        <v>3018.1644053177902</v>
      </c>
      <c r="T608" s="1">
        <v>732</v>
      </c>
      <c r="U608" s="1">
        <v>144</v>
      </c>
      <c r="V608" s="1">
        <v>33</v>
      </c>
      <c r="W608" s="1">
        <v>1994</v>
      </c>
      <c r="X608" s="1">
        <v>0.70396769490613698</v>
      </c>
    </row>
    <row r="609" spans="1:24" x14ac:dyDescent="0.3">
      <c r="A609" s="2">
        <v>45326</v>
      </c>
      <c r="B609" s="1" t="s">
        <v>25</v>
      </c>
      <c r="C609" s="1" t="s">
        <v>35</v>
      </c>
      <c r="D609" s="1" t="s">
        <v>36</v>
      </c>
      <c r="E609" s="1" t="s">
        <v>28</v>
      </c>
      <c r="F609" s="1">
        <v>31</v>
      </c>
      <c r="G609" s="1" t="str" cm="1">
        <f t="array" ref="G609">_xlfn.IFS(F609&lt;=25,"YOUTH",F609&lt;=48,"ADULT",TRUE,"SENIOR")</f>
        <v>ADULT</v>
      </c>
      <c r="H609" s="1" t="s">
        <v>29</v>
      </c>
      <c r="I609" s="1" t="s">
        <v>33</v>
      </c>
      <c r="J609" s="1" t="s">
        <v>23</v>
      </c>
      <c r="K609" s="1" t="s">
        <v>31</v>
      </c>
      <c r="L609" s="1">
        <v>17679</v>
      </c>
      <c r="M609" s="3">
        <f t="shared" si="27"/>
        <v>0.11222354205554613</v>
      </c>
      <c r="N609" s="1">
        <v>1984</v>
      </c>
      <c r="O609" s="4">
        <f t="shared" si="28"/>
        <v>7.1366906474820144</v>
      </c>
      <c r="P609" s="1">
        <v>278</v>
      </c>
      <c r="Q609" s="1">
        <v>1808.45134243145</v>
      </c>
      <c r="R609" s="1">
        <v>11288.9553359771</v>
      </c>
      <c r="S609" s="5">
        <f t="shared" si="29"/>
        <v>11287.9553359771</v>
      </c>
      <c r="T609" s="1">
        <v>380</v>
      </c>
      <c r="U609" s="1">
        <v>34</v>
      </c>
      <c r="V609" s="1">
        <v>17</v>
      </c>
      <c r="W609" s="1">
        <v>782</v>
      </c>
      <c r="X609" s="1">
        <v>0.75317358741176299</v>
      </c>
    </row>
    <row r="610" spans="1:24" x14ac:dyDescent="0.3">
      <c r="A610" s="2">
        <v>45309</v>
      </c>
      <c r="B610" s="1" t="s">
        <v>17</v>
      </c>
      <c r="C610" s="1" t="s">
        <v>18</v>
      </c>
      <c r="D610" s="1" t="s">
        <v>27</v>
      </c>
      <c r="E610" s="1" t="s">
        <v>28</v>
      </c>
      <c r="F610" s="1">
        <v>32</v>
      </c>
      <c r="G610" s="1" t="str" cm="1">
        <f t="array" ref="G610">_xlfn.IFS(F610&lt;=25,"YOUTH",F610&lt;=48,"ADULT",TRUE,"SENIOR")</f>
        <v>ADULT</v>
      </c>
      <c r="H610" s="1" t="s">
        <v>21</v>
      </c>
      <c r="I610" s="1" t="s">
        <v>22</v>
      </c>
      <c r="J610" s="1" t="s">
        <v>23</v>
      </c>
      <c r="K610" s="1" t="s">
        <v>24</v>
      </c>
      <c r="L610" s="1">
        <v>44013</v>
      </c>
      <c r="M610" s="3">
        <f t="shared" si="27"/>
        <v>8.4588644264194671E-2</v>
      </c>
      <c r="N610" s="1">
        <v>3723</v>
      </c>
      <c r="O610" s="4">
        <f t="shared" si="28"/>
        <v>32.946902654867259</v>
      </c>
      <c r="P610" s="1">
        <v>113</v>
      </c>
      <c r="Q610" s="1">
        <v>4189.0481865515103</v>
      </c>
      <c r="R610" s="1">
        <v>6024.53242059476</v>
      </c>
      <c r="S610" s="5">
        <f t="shared" si="29"/>
        <v>6023.53242059476</v>
      </c>
      <c r="T610" s="1">
        <v>705</v>
      </c>
      <c r="U610" s="1">
        <v>108</v>
      </c>
      <c r="V610" s="1">
        <v>35</v>
      </c>
      <c r="W610" s="1">
        <v>7979</v>
      </c>
      <c r="X610" s="1">
        <v>0.62805759778736203</v>
      </c>
    </row>
    <row r="611" spans="1:24" x14ac:dyDescent="0.3">
      <c r="A611" s="2">
        <v>45302</v>
      </c>
      <c r="B611" s="1" t="s">
        <v>25</v>
      </c>
      <c r="C611" s="1" t="s">
        <v>18</v>
      </c>
      <c r="D611" s="1" t="s">
        <v>27</v>
      </c>
      <c r="E611" s="1" t="s">
        <v>28</v>
      </c>
      <c r="F611" s="1">
        <v>48</v>
      </c>
      <c r="G611" s="1" t="str" cm="1">
        <f t="array" ref="G611">_xlfn.IFS(F611&lt;=25,"YOUTH",F611&lt;=48,"ADULT",TRUE,"SENIOR")</f>
        <v>ADULT</v>
      </c>
      <c r="H611" s="1" t="s">
        <v>29</v>
      </c>
      <c r="I611" s="1" t="s">
        <v>43</v>
      </c>
      <c r="J611" s="1" t="s">
        <v>23</v>
      </c>
      <c r="K611" s="1" t="s">
        <v>31</v>
      </c>
      <c r="L611" s="1">
        <v>36365</v>
      </c>
      <c r="M611" s="3">
        <f t="shared" si="27"/>
        <v>0.14032723772858519</v>
      </c>
      <c r="N611" s="1">
        <v>5103</v>
      </c>
      <c r="O611" s="4">
        <f t="shared" si="28"/>
        <v>4.2631578947368425</v>
      </c>
      <c r="P611" s="1">
        <v>1197</v>
      </c>
      <c r="Q611" s="1">
        <v>1952.8447780507299</v>
      </c>
      <c r="R611" s="1">
        <v>22864.2676528177</v>
      </c>
      <c r="S611" s="5">
        <f t="shared" si="29"/>
        <v>22863.2676528177</v>
      </c>
      <c r="T611" s="1">
        <v>791</v>
      </c>
      <c r="U611" s="1">
        <v>69</v>
      </c>
      <c r="V611" s="1">
        <v>55</v>
      </c>
      <c r="W611" s="1">
        <v>1531</v>
      </c>
      <c r="X611" s="1">
        <v>0.89684131770133102</v>
      </c>
    </row>
    <row r="612" spans="1:24" x14ac:dyDescent="0.3">
      <c r="A612" s="2">
        <v>45345</v>
      </c>
      <c r="B612" s="1" t="s">
        <v>34</v>
      </c>
      <c r="C612" s="1" t="s">
        <v>18</v>
      </c>
      <c r="D612" s="1" t="s">
        <v>19</v>
      </c>
      <c r="E612" s="1" t="s">
        <v>20</v>
      </c>
      <c r="F612" s="1">
        <v>18</v>
      </c>
      <c r="G612" s="1" t="str" cm="1">
        <f t="array" ref="G612">_xlfn.IFS(F612&lt;=25,"YOUTH",F612&lt;=48,"ADULT",TRUE,"SENIOR")</f>
        <v>YOUTH</v>
      </c>
      <c r="H612" s="1" t="s">
        <v>21</v>
      </c>
      <c r="I612" s="1" t="s">
        <v>33</v>
      </c>
      <c r="J612" s="1" t="s">
        <v>38</v>
      </c>
      <c r="K612" s="1" t="s">
        <v>31</v>
      </c>
      <c r="L612" s="1">
        <v>18064</v>
      </c>
      <c r="M612" s="3">
        <f t="shared" si="27"/>
        <v>0.14315766164747565</v>
      </c>
      <c r="N612" s="1">
        <v>2586</v>
      </c>
      <c r="O612" s="4">
        <f t="shared" si="28"/>
        <v>5.4904458598726116</v>
      </c>
      <c r="P612" s="1">
        <v>471</v>
      </c>
      <c r="Q612" s="1">
        <v>2495.4896484046399</v>
      </c>
      <c r="R612" s="1">
        <v>4227.7732844053598</v>
      </c>
      <c r="S612" s="5">
        <f t="shared" si="29"/>
        <v>4226.7732844053598</v>
      </c>
      <c r="T612" s="1">
        <v>104</v>
      </c>
      <c r="U612" s="1">
        <v>10</v>
      </c>
      <c r="V612" s="1">
        <v>5</v>
      </c>
      <c r="W612" s="1">
        <v>3210</v>
      </c>
      <c r="X612" s="1">
        <v>0.59951533866064699</v>
      </c>
    </row>
    <row r="613" spans="1:24" x14ac:dyDescent="0.3">
      <c r="A613" s="2">
        <v>45311</v>
      </c>
      <c r="B613" s="1" t="s">
        <v>25</v>
      </c>
      <c r="C613" s="1" t="s">
        <v>18</v>
      </c>
      <c r="D613" s="1" t="s">
        <v>19</v>
      </c>
      <c r="E613" s="1" t="s">
        <v>28</v>
      </c>
      <c r="F613" s="1">
        <v>20</v>
      </c>
      <c r="G613" s="1" t="str" cm="1">
        <f t="array" ref="G613">_xlfn.IFS(F613&lt;=25,"YOUTH",F613&lt;=48,"ADULT",TRUE,"SENIOR")</f>
        <v>YOUTH</v>
      </c>
      <c r="H613" s="1" t="s">
        <v>21</v>
      </c>
      <c r="I613" s="1" t="s">
        <v>22</v>
      </c>
      <c r="J613" s="1" t="s">
        <v>23</v>
      </c>
      <c r="K613" s="1" t="s">
        <v>31</v>
      </c>
      <c r="L613" s="1">
        <v>31563</v>
      </c>
      <c r="M613" s="3">
        <f t="shared" si="27"/>
        <v>6.05772581820486E-2</v>
      </c>
      <c r="N613" s="1">
        <v>1912</v>
      </c>
      <c r="O613" s="4">
        <f t="shared" si="28"/>
        <v>5.2240437158469941</v>
      </c>
      <c r="P613" s="1">
        <v>366</v>
      </c>
      <c r="Q613" s="1">
        <v>718.13423115536705</v>
      </c>
      <c r="R613" s="1">
        <v>5539.31148521458</v>
      </c>
      <c r="S613" s="5">
        <f t="shared" si="29"/>
        <v>5538.31148521458</v>
      </c>
      <c r="T613" s="1">
        <v>620</v>
      </c>
      <c r="U613" s="1">
        <v>48</v>
      </c>
      <c r="V613" s="1">
        <v>43</v>
      </c>
      <c r="W613" s="1">
        <v>3747</v>
      </c>
      <c r="X613" s="1">
        <v>0.46875595104941398</v>
      </c>
    </row>
    <row r="614" spans="1:24" x14ac:dyDescent="0.3">
      <c r="A614" s="2">
        <v>45296</v>
      </c>
      <c r="B614" s="1" t="s">
        <v>34</v>
      </c>
      <c r="C614" s="1" t="s">
        <v>35</v>
      </c>
      <c r="D614" s="1" t="s">
        <v>19</v>
      </c>
      <c r="E614" s="1" t="s">
        <v>20</v>
      </c>
      <c r="F614" s="1">
        <v>33</v>
      </c>
      <c r="G614" s="1" t="str" cm="1">
        <f t="array" ref="G614">_xlfn.IFS(F614&lt;=25,"YOUTH",F614&lt;=48,"ADULT",TRUE,"SENIOR")</f>
        <v>ADULT</v>
      </c>
      <c r="H614" s="1" t="s">
        <v>29</v>
      </c>
      <c r="I614" s="1" t="s">
        <v>37</v>
      </c>
      <c r="J614" s="1" t="s">
        <v>23</v>
      </c>
      <c r="K614" s="1" t="s">
        <v>31</v>
      </c>
      <c r="L614" s="1">
        <v>34092</v>
      </c>
      <c r="M614" s="3">
        <f t="shared" si="27"/>
        <v>0.11885486331104071</v>
      </c>
      <c r="N614" s="1">
        <v>4052</v>
      </c>
      <c r="O614" s="4">
        <f t="shared" si="28"/>
        <v>4.9354445797807553</v>
      </c>
      <c r="P614" s="1">
        <v>821</v>
      </c>
      <c r="Q614" s="1">
        <v>2224.2212633456502</v>
      </c>
      <c r="R614" s="1">
        <v>27684.223172032802</v>
      </c>
      <c r="S614" s="5">
        <f t="shared" si="29"/>
        <v>27683.223172032802</v>
      </c>
      <c r="T614" s="1">
        <v>642</v>
      </c>
      <c r="U614" s="1">
        <v>114</v>
      </c>
      <c r="V614" s="1">
        <v>20</v>
      </c>
      <c r="W614" s="1">
        <v>5959</v>
      </c>
      <c r="X614" s="1">
        <v>0.479211196928434</v>
      </c>
    </row>
    <row r="615" spans="1:24" x14ac:dyDescent="0.3">
      <c r="A615" s="2">
        <v>45310</v>
      </c>
      <c r="B615" s="1" t="s">
        <v>40</v>
      </c>
      <c r="C615" s="1" t="s">
        <v>18</v>
      </c>
      <c r="D615" s="1" t="s">
        <v>32</v>
      </c>
      <c r="E615" s="1" t="s">
        <v>20</v>
      </c>
      <c r="F615" s="1">
        <v>40</v>
      </c>
      <c r="G615" s="1" t="str" cm="1">
        <f t="array" ref="G615">_xlfn.IFS(F615&lt;=25,"YOUTH",F615&lt;=48,"ADULT",TRUE,"SENIOR")</f>
        <v>ADULT</v>
      </c>
      <c r="H615" s="1" t="s">
        <v>29</v>
      </c>
      <c r="I615" s="1" t="s">
        <v>33</v>
      </c>
      <c r="J615" s="1" t="s">
        <v>38</v>
      </c>
      <c r="K615" s="1" t="s">
        <v>31</v>
      </c>
      <c r="L615" s="1">
        <v>48928</v>
      </c>
      <c r="M615" s="3">
        <f t="shared" si="27"/>
        <v>0.11343198168737736</v>
      </c>
      <c r="N615" s="1">
        <v>5550</v>
      </c>
      <c r="O615" s="4">
        <f t="shared" si="28"/>
        <v>5.211267605633803</v>
      </c>
      <c r="P615" s="1">
        <v>1065</v>
      </c>
      <c r="Q615" s="1">
        <v>5551.8122987159204</v>
      </c>
      <c r="R615" s="1">
        <v>40378.561601852198</v>
      </c>
      <c r="S615" s="5">
        <f t="shared" si="29"/>
        <v>40377.561601852198</v>
      </c>
      <c r="T615" s="1">
        <v>668</v>
      </c>
      <c r="U615" s="1">
        <v>121</v>
      </c>
      <c r="V615" s="1">
        <v>65</v>
      </c>
      <c r="W615" s="1">
        <v>4896</v>
      </c>
      <c r="X615" s="1">
        <v>0.88997168800000004</v>
      </c>
    </row>
    <row r="616" spans="1:24" x14ac:dyDescent="0.3">
      <c r="A616" s="2">
        <v>45313</v>
      </c>
      <c r="B616" s="1" t="s">
        <v>17</v>
      </c>
      <c r="C616" s="1" t="s">
        <v>18</v>
      </c>
      <c r="D616" s="1" t="s">
        <v>19</v>
      </c>
      <c r="E616" s="1" t="s">
        <v>20</v>
      </c>
      <c r="F616" s="1">
        <v>28</v>
      </c>
      <c r="G616" s="1" t="str" cm="1">
        <f t="array" ref="G616">_xlfn.IFS(F616&lt;=25,"YOUTH",F616&lt;=48,"ADULT",TRUE,"SENIOR")</f>
        <v>ADULT</v>
      </c>
      <c r="H616" s="1" t="s">
        <v>29</v>
      </c>
      <c r="I616" s="1" t="s">
        <v>43</v>
      </c>
      <c r="J616" s="1" t="s">
        <v>23</v>
      </c>
      <c r="K616" s="1" t="s">
        <v>31</v>
      </c>
      <c r="L616" s="1">
        <v>27867</v>
      </c>
      <c r="M616" s="3">
        <f t="shared" si="27"/>
        <v>0.13499838518678006</v>
      </c>
      <c r="N616" s="1">
        <v>3762</v>
      </c>
      <c r="O616" s="4">
        <f t="shared" si="28"/>
        <v>8.25</v>
      </c>
      <c r="P616" s="1">
        <v>456</v>
      </c>
      <c r="Q616" s="1">
        <v>3335.7010907743602</v>
      </c>
      <c r="R616" s="1">
        <v>13569.435019303801</v>
      </c>
      <c r="S616" s="5">
        <f t="shared" si="29"/>
        <v>13568.435019303801</v>
      </c>
      <c r="T616" s="1">
        <v>279</v>
      </c>
      <c r="U616" s="1">
        <v>26</v>
      </c>
      <c r="V616" s="1">
        <v>21</v>
      </c>
      <c r="W616" s="1">
        <v>5190</v>
      </c>
      <c r="X616" s="1">
        <v>0.94340442356637699</v>
      </c>
    </row>
    <row r="617" spans="1:24" x14ac:dyDescent="0.3">
      <c r="A617" s="2">
        <v>45350</v>
      </c>
      <c r="B617" s="1" t="s">
        <v>40</v>
      </c>
      <c r="C617" s="1" t="s">
        <v>26</v>
      </c>
      <c r="D617" s="1" t="s">
        <v>32</v>
      </c>
      <c r="E617" s="1" t="s">
        <v>28</v>
      </c>
      <c r="F617" s="1">
        <v>29</v>
      </c>
      <c r="G617" s="1" t="str" cm="1">
        <f t="array" ref="G617">_xlfn.IFS(F617&lt;=25,"YOUTH",F617&lt;=48,"ADULT",TRUE,"SENIOR")</f>
        <v>ADULT</v>
      </c>
      <c r="H617" s="1" t="s">
        <v>21</v>
      </c>
      <c r="I617" s="1" t="s">
        <v>37</v>
      </c>
      <c r="J617" s="1" t="s">
        <v>38</v>
      </c>
      <c r="K617" s="1" t="s">
        <v>31</v>
      </c>
      <c r="L617" s="1">
        <v>46382</v>
      </c>
      <c r="M617" s="3">
        <f t="shared" si="27"/>
        <v>7.2700616618515804E-2</v>
      </c>
      <c r="N617" s="1">
        <v>3372</v>
      </c>
      <c r="O617" s="4">
        <f t="shared" si="28"/>
        <v>5.3018867924528301</v>
      </c>
      <c r="P617" s="1">
        <v>636</v>
      </c>
      <c r="Q617" s="1">
        <v>3436.6933426189998</v>
      </c>
      <c r="R617" s="1">
        <v>21368.515529531898</v>
      </c>
      <c r="S617" s="5">
        <f t="shared" si="29"/>
        <v>21367.515529531898</v>
      </c>
      <c r="T617" s="1">
        <v>1168</v>
      </c>
      <c r="U617" s="1">
        <v>202</v>
      </c>
      <c r="V617" s="1">
        <v>46</v>
      </c>
      <c r="W617" s="1">
        <v>2327</v>
      </c>
      <c r="X617" s="1">
        <v>0.55891581781444399</v>
      </c>
    </row>
    <row r="618" spans="1:24" x14ac:dyDescent="0.3">
      <c r="A618" s="2">
        <v>45351</v>
      </c>
      <c r="B618" s="1" t="s">
        <v>25</v>
      </c>
      <c r="C618" s="1" t="s">
        <v>35</v>
      </c>
      <c r="D618" s="1" t="s">
        <v>27</v>
      </c>
      <c r="E618" s="1" t="s">
        <v>20</v>
      </c>
      <c r="F618" s="1">
        <v>27</v>
      </c>
      <c r="G618" s="1" t="str" cm="1">
        <f t="array" ref="G618">_xlfn.IFS(F618&lt;=25,"YOUTH",F618&lt;=48,"ADULT",TRUE,"SENIOR")</f>
        <v>ADULT</v>
      </c>
      <c r="H618" s="1" t="s">
        <v>29</v>
      </c>
      <c r="I618" s="1" t="s">
        <v>37</v>
      </c>
      <c r="J618" s="1" t="s">
        <v>38</v>
      </c>
      <c r="K618" s="1" t="s">
        <v>31</v>
      </c>
      <c r="L618" s="1">
        <v>34754</v>
      </c>
      <c r="M618" s="3">
        <f t="shared" si="27"/>
        <v>8.4249295045174658E-2</v>
      </c>
      <c r="N618" s="1">
        <v>2928</v>
      </c>
      <c r="O618" s="4">
        <f t="shared" si="28"/>
        <v>6.1127348643006263</v>
      </c>
      <c r="P618" s="1">
        <v>479</v>
      </c>
      <c r="Q618" s="1">
        <v>771.47887448853101</v>
      </c>
      <c r="R618" s="1">
        <v>17035.7654674349</v>
      </c>
      <c r="S618" s="5">
        <f t="shared" si="29"/>
        <v>17034.7654674349</v>
      </c>
      <c r="T618" s="1">
        <v>220</v>
      </c>
      <c r="U618" s="1">
        <v>22</v>
      </c>
      <c r="V618" s="1">
        <v>17</v>
      </c>
      <c r="W618" s="1">
        <v>4010</v>
      </c>
      <c r="X618" s="1">
        <v>0.47898149911009102</v>
      </c>
    </row>
    <row r="619" spans="1:24" x14ac:dyDescent="0.3">
      <c r="A619" s="2">
        <v>45310</v>
      </c>
      <c r="B619" s="1" t="s">
        <v>40</v>
      </c>
      <c r="C619" s="1" t="s">
        <v>41</v>
      </c>
      <c r="D619" s="1" t="s">
        <v>36</v>
      </c>
      <c r="E619" s="1" t="s">
        <v>28</v>
      </c>
      <c r="F619" s="1">
        <v>49</v>
      </c>
      <c r="G619" s="1" t="str" cm="1">
        <f t="array" ref="G619">_xlfn.IFS(F619&lt;=25,"YOUTH",F619&lt;=48,"ADULT",TRUE,"SENIOR")</f>
        <v>SENIOR</v>
      </c>
      <c r="H619" s="1" t="s">
        <v>29</v>
      </c>
      <c r="I619" s="1" t="s">
        <v>22</v>
      </c>
      <c r="J619" s="1" t="s">
        <v>23</v>
      </c>
      <c r="K619" s="1" t="s">
        <v>39</v>
      </c>
      <c r="L619" s="1">
        <v>20502</v>
      </c>
      <c r="M619" s="3">
        <f t="shared" si="27"/>
        <v>6.8188469417617789E-2</v>
      </c>
      <c r="N619" s="1">
        <v>1398</v>
      </c>
      <c r="O619" s="4">
        <f t="shared" si="28"/>
        <v>4.629139072847682</v>
      </c>
      <c r="P619" s="1">
        <v>302</v>
      </c>
      <c r="Q619" s="1">
        <v>2057.2870962213301</v>
      </c>
      <c r="R619" s="1">
        <v>16614.0416672295</v>
      </c>
      <c r="S619" s="5">
        <f t="shared" si="29"/>
        <v>16613.0416672295</v>
      </c>
      <c r="T619" s="1">
        <v>138</v>
      </c>
      <c r="U619" s="1">
        <v>8</v>
      </c>
      <c r="V619" s="1">
        <v>9</v>
      </c>
      <c r="W619" s="1">
        <v>695</v>
      </c>
      <c r="X619" s="1">
        <v>0.66521675496591504</v>
      </c>
    </row>
    <row r="620" spans="1:24" x14ac:dyDescent="0.3">
      <c r="A620" s="2">
        <v>45338</v>
      </c>
      <c r="B620" s="1" t="s">
        <v>17</v>
      </c>
      <c r="C620" s="1" t="s">
        <v>41</v>
      </c>
      <c r="D620" s="1" t="s">
        <v>27</v>
      </c>
      <c r="E620" s="1" t="s">
        <v>28</v>
      </c>
      <c r="F620" s="1">
        <v>33</v>
      </c>
      <c r="G620" s="1" t="str" cm="1">
        <f t="array" ref="G620">_xlfn.IFS(F620&lt;=25,"YOUTH",F620&lt;=48,"ADULT",TRUE,"SENIOR")</f>
        <v>ADULT</v>
      </c>
      <c r="H620" s="1" t="s">
        <v>29</v>
      </c>
      <c r="I620" s="1" t="s">
        <v>33</v>
      </c>
      <c r="J620" s="1" t="s">
        <v>38</v>
      </c>
      <c r="K620" s="1" t="s">
        <v>31</v>
      </c>
      <c r="L620" s="1">
        <v>1760</v>
      </c>
      <c r="M620" s="3">
        <f t="shared" si="27"/>
        <v>0.12897727272727272</v>
      </c>
      <c r="N620" s="1">
        <v>227</v>
      </c>
      <c r="O620" s="4">
        <f t="shared" si="28"/>
        <v>4.9347826086956523</v>
      </c>
      <c r="P620" s="1">
        <v>46</v>
      </c>
      <c r="Q620" s="1">
        <v>49.636063054719699</v>
      </c>
      <c r="R620" s="1">
        <v>544.67327525218002</v>
      </c>
      <c r="S620" s="5">
        <f t="shared" si="29"/>
        <v>543.67327525218002</v>
      </c>
      <c r="T620" s="1">
        <v>28</v>
      </c>
      <c r="U620" s="1">
        <v>4</v>
      </c>
      <c r="V620" s="1">
        <v>0</v>
      </c>
      <c r="W620" s="1">
        <v>167</v>
      </c>
      <c r="X620" s="1">
        <v>0.79024043496712804</v>
      </c>
    </row>
    <row r="621" spans="1:24" x14ac:dyDescent="0.3">
      <c r="A621" s="2">
        <v>45307</v>
      </c>
      <c r="B621" s="1" t="s">
        <v>40</v>
      </c>
      <c r="C621" s="1" t="s">
        <v>26</v>
      </c>
      <c r="D621" s="1" t="s">
        <v>27</v>
      </c>
      <c r="E621" s="1" t="s">
        <v>28</v>
      </c>
      <c r="F621" s="1">
        <v>25</v>
      </c>
      <c r="G621" s="1" t="str" cm="1">
        <f t="array" ref="G621">_xlfn.IFS(F621&lt;=25,"YOUTH",F621&lt;=48,"ADULT",TRUE,"SENIOR")</f>
        <v>YOUTH</v>
      </c>
      <c r="H621" s="1" t="s">
        <v>21</v>
      </c>
      <c r="I621" s="1" t="s">
        <v>37</v>
      </c>
      <c r="J621" s="1" t="s">
        <v>23</v>
      </c>
      <c r="K621" s="1" t="s">
        <v>31</v>
      </c>
      <c r="L621" s="1">
        <v>25142</v>
      </c>
      <c r="M621" s="3">
        <f t="shared" si="27"/>
        <v>4.2120754116617615E-2</v>
      </c>
      <c r="N621" s="1">
        <v>1059</v>
      </c>
      <c r="O621" s="4">
        <f t="shared" si="28"/>
        <v>34.161290322580648</v>
      </c>
      <c r="P621" s="1">
        <v>31</v>
      </c>
      <c r="Q621" s="1">
        <v>855.3622901</v>
      </c>
      <c r="R621" s="1">
        <v>1704.4351913261801</v>
      </c>
      <c r="S621" s="5">
        <f t="shared" si="29"/>
        <v>1703.4351913261801</v>
      </c>
      <c r="T621" s="1">
        <v>284</v>
      </c>
      <c r="U621" s="1">
        <v>39</v>
      </c>
      <c r="V621" s="1">
        <v>9</v>
      </c>
      <c r="W621" s="1">
        <v>2973</v>
      </c>
      <c r="X621" s="1">
        <v>0.73682159945663395</v>
      </c>
    </row>
    <row r="622" spans="1:24" x14ac:dyDescent="0.3">
      <c r="A622" s="2">
        <v>45315</v>
      </c>
      <c r="B622" s="1" t="s">
        <v>17</v>
      </c>
      <c r="C622" s="1" t="s">
        <v>26</v>
      </c>
      <c r="D622" s="1" t="s">
        <v>27</v>
      </c>
      <c r="E622" s="1" t="s">
        <v>20</v>
      </c>
      <c r="F622" s="1">
        <v>55</v>
      </c>
      <c r="G622" s="1" t="str" cm="1">
        <f t="array" ref="G622">_xlfn.IFS(F622&lt;=25,"YOUTH",F622&lt;=48,"ADULT",TRUE,"SENIOR")</f>
        <v>SENIOR</v>
      </c>
      <c r="H622" s="1" t="s">
        <v>29</v>
      </c>
      <c r="I622" s="1" t="s">
        <v>43</v>
      </c>
      <c r="J622" s="1" t="s">
        <v>23</v>
      </c>
      <c r="K622" s="1" t="s">
        <v>24</v>
      </c>
      <c r="L622" s="1">
        <v>45653</v>
      </c>
      <c r="M622" s="3">
        <f t="shared" si="27"/>
        <v>4.3545878693623641E-2</v>
      </c>
      <c r="N622" s="1">
        <v>1988</v>
      </c>
      <c r="O622" s="4">
        <f t="shared" si="28"/>
        <v>9.3333333333333339</v>
      </c>
      <c r="P622" s="1">
        <v>213</v>
      </c>
      <c r="Q622" s="1">
        <v>4772.2264935209696</v>
      </c>
      <c r="R622" s="1">
        <v>10599.0450002742</v>
      </c>
      <c r="S622" s="5">
        <f t="shared" si="29"/>
        <v>10598.0450002742</v>
      </c>
      <c r="T622" s="1">
        <v>1079</v>
      </c>
      <c r="U622" s="1">
        <v>98</v>
      </c>
      <c r="V622" s="1">
        <v>25</v>
      </c>
      <c r="W622" s="1">
        <v>5710</v>
      </c>
      <c r="X622" s="1">
        <v>0.92310950014543602</v>
      </c>
    </row>
    <row r="623" spans="1:24" x14ac:dyDescent="0.3">
      <c r="A623" s="2">
        <v>45332</v>
      </c>
      <c r="B623" s="1" t="s">
        <v>17</v>
      </c>
      <c r="C623" s="1" t="s">
        <v>35</v>
      </c>
      <c r="D623" s="1" t="s">
        <v>19</v>
      </c>
      <c r="E623" s="1" t="s">
        <v>20</v>
      </c>
      <c r="F623" s="1">
        <v>29</v>
      </c>
      <c r="G623" s="1" t="str" cm="1">
        <f t="array" ref="G623">_xlfn.IFS(F623&lt;=25,"YOUTH",F623&lt;=48,"ADULT",TRUE,"SENIOR")</f>
        <v>ADULT</v>
      </c>
      <c r="H623" s="1" t="s">
        <v>29</v>
      </c>
      <c r="I623" s="1" t="s">
        <v>33</v>
      </c>
      <c r="J623" s="1" t="s">
        <v>23</v>
      </c>
      <c r="K623" s="1" t="s">
        <v>39</v>
      </c>
      <c r="L623" s="1">
        <v>42996</v>
      </c>
      <c r="M623" s="3">
        <f t="shared" si="27"/>
        <v>6.2145315843334263E-2</v>
      </c>
      <c r="N623" s="1">
        <v>2672</v>
      </c>
      <c r="O623" s="4">
        <f t="shared" si="28"/>
        <v>36.108108108108105</v>
      </c>
      <c r="P623" s="1">
        <v>74</v>
      </c>
      <c r="Q623" s="1">
        <v>2606.5672492089602</v>
      </c>
      <c r="R623" s="1">
        <v>3937.3884935810802</v>
      </c>
      <c r="S623" s="5">
        <f t="shared" si="29"/>
        <v>3936.3884935810802</v>
      </c>
      <c r="T623" s="1">
        <v>896</v>
      </c>
      <c r="U623" s="1">
        <v>78</v>
      </c>
      <c r="V623" s="1">
        <v>75</v>
      </c>
      <c r="W623" s="1">
        <v>3416</v>
      </c>
      <c r="X623" s="1">
        <v>0.84977783618439495</v>
      </c>
    </row>
    <row r="624" spans="1:24" x14ac:dyDescent="0.3">
      <c r="A624" s="2">
        <v>45295</v>
      </c>
      <c r="B624" s="1" t="s">
        <v>40</v>
      </c>
      <c r="C624" s="1" t="s">
        <v>41</v>
      </c>
      <c r="D624" s="1" t="s">
        <v>19</v>
      </c>
      <c r="E624" s="1" t="s">
        <v>28</v>
      </c>
      <c r="F624" s="1">
        <v>41</v>
      </c>
      <c r="G624" s="1" t="str" cm="1">
        <f t="array" ref="G624">_xlfn.IFS(F624&lt;=25,"YOUTH",F624&lt;=48,"ADULT",TRUE,"SENIOR")</f>
        <v>ADULT</v>
      </c>
      <c r="H624" s="1" t="s">
        <v>21</v>
      </c>
      <c r="I624" s="1" t="s">
        <v>43</v>
      </c>
      <c r="J624" s="1" t="s">
        <v>23</v>
      </c>
      <c r="K624" s="1" t="s">
        <v>31</v>
      </c>
      <c r="L624" s="1">
        <v>18290</v>
      </c>
      <c r="M624" s="3">
        <f t="shared" si="27"/>
        <v>4.2208857299070528E-2</v>
      </c>
      <c r="N624" s="1">
        <v>772</v>
      </c>
      <c r="O624" s="4">
        <f t="shared" si="28"/>
        <v>23.393939393939394</v>
      </c>
      <c r="P624" s="1">
        <v>33</v>
      </c>
      <c r="Q624" s="1">
        <v>1193.31129409441</v>
      </c>
      <c r="R624" s="1">
        <v>1740.43468770256</v>
      </c>
      <c r="S624" s="5">
        <f t="shared" si="29"/>
        <v>1739.43468770256</v>
      </c>
      <c r="T624" s="1">
        <v>444</v>
      </c>
      <c r="U624" s="1">
        <v>87</v>
      </c>
      <c r="V624" s="1">
        <v>28</v>
      </c>
      <c r="W624" s="1">
        <v>448</v>
      </c>
      <c r="X624" s="1">
        <v>0.87793469078520103</v>
      </c>
    </row>
    <row r="625" spans="1:24" x14ac:dyDescent="0.3">
      <c r="A625" s="2">
        <v>45306</v>
      </c>
      <c r="B625" s="1" t="s">
        <v>34</v>
      </c>
      <c r="C625" s="1" t="s">
        <v>18</v>
      </c>
      <c r="D625" s="1" t="s">
        <v>19</v>
      </c>
      <c r="E625" s="1" t="s">
        <v>20</v>
      </c>
      <c r="F625" s="1">
        <v>45</v>
      </c>
      <c r="G625" s="1" t="str" cm="1">
        <f t="array" ref="G625">_xlfn.IFS(F625&lt;=25,"YOUTH",F625&lt;=48,"ADULT",TRUE,"SENIOR")</f>
        <v>ADULT</v>
      </c>
      <c r="H625" s="1" t="s">
        <v>42</v>
      </c>
      <c r="I625" s="1" t="s">
        <v>37</v>
      </c>
      <c r="J625" s="1" t="s">
        <v>38</v>
      </c>
      <c r="K625" s="1" t="s">
        <v>24</v>
      </c>
      <c r="L625" s="1">
        <v>6499</v>
      </c>
      <c r="M625" s="3">
        <f t="shared" si="27"/>
        <v>8.847515002308047E-2</v>
      </c>
      <c r="N625" s="1">
        <v>575</v>
      </c>
      <c r="O625" s="4">
        <f t="shared" si="28"/>
        <v>6.3186813186813184</v>
      </c>
      <c r="P625" s="1">
        <v>91</v>
      </c>
      <c r="Q625" s="1">
        <v>541.26869509999995</v>
      </c>
      <c r="R625" s="1">
        <v>3238.5505899999998</v>
      </c>
      <c r="S625" s="5">
        <f t="shared" si="29"/>
        <v>3237.5505899999998</v>
      </c>
      <c r="T625" s="1">
        <v>85</v>
      </c>
      <c r="U625" s="1">
        <v>15</v>
      </c>
      <c r="V625" s="1">
        <v>3</v>
      </c>
      <c r="W625" s="1">
        <v>874</v>
      </c>
      <c r="X625" s="1">
        <v>0.69791693736698801</v>
      </c>
    </row>
    <row r="626" spans="1:24" x14ac:dyDescent="0.3">
      <c r="A626" s="2">
        <v>45316</v>
      </c>
      <c r="B626" s="1" t="s">
        <v>25</v>
      </c>
      <c r="C626" s="1" t="s">
        <v>26</v>
      </c>
      <c r="D626" s="1" t="s">
        <v>36</v>
      </c>
      <c r="E626" s="1" t="s">
        <v>20</v>
      </c>
      <c r="F626" s="1">
        <v>25</v>
      </c>
      <c r="G626" s="1" t="str" cm="1">
        <f t="array" ref="G626">_xlfn.IFS(F626&lt;=25,"YOUTH",F626&lt;=48,"ADULT",TRUE,"SENIOR")</f>
        <v>YOUTH</v>
      </c>
      <c r="H626" s="1" t="s">
        <v>29</v>
      </c>
      <c r="I626" s="1" t="s">
        <v>43</v>
      </c>
      <c r="J626" s="1" t="s">
        <v>23</v>
      </c>
      <c r="K626" s="1" t="s">
        <v>31</v>
      </c>
      <c r="L626" s="1">
        <v>1364</v>
      </c>
      <c r="M626" s="3">
        <f t="shared" si="27"/>
        <v>2.8592375366568914E-2</v>
      </c>
      <c r="N626" s="1">
        <v>39</v>
      </c>
      <c r="O626" s="4">
        <f t="shared" si="28"/>
        <v>4.875</v>
      </c>
      <c r="P626" s="1">
        <v>8</v>
      </c>
      <c r="Q626" s="1">
        <v>200.80152097646399</v>
      </c>
      <c r="R626" s="1">
        <v>149.928095971668</v>
      </c>
      <c r="S626" s="5">
        <f t="shared" si="29"/>
        <v>148.928095971668</v>
      </c>
      <c r="T626" s="1">
        <v>32</v>
      </c>
      <c r="U626" s="1">
        <v>5</v>
      </c>
      <c r="V626" s="1">
        <v>0</v>
      </c>
      <c r="W626" s="1">
        <v>140</v>
      </c>
      <c r="X626" s="1">
        <v>0.58000135633229699</v>
      </c>
    </row>
    <row r="627" spans="1:24" x14ac:dyDescent="0.3">
      <c r="A627" s="2">
        <v>45335</v>
      </c>
      <c r="B627" s="1" t="s">
        <v>34</v>
      </c>
      <c r="C627" s="1" t="s">
        <v>41</v>
      </c>
      <c r="D627" s="1" t="s">
        <v>19</v>
      </c>
      <c r="E627" s="1" t="s">
        <v>20</v>
      </c>
      <c r="F627" s="1">
        <v>45</v>
      </c>
      <c r="G627" s="1" t="str" cm="1">
        <f t="array" ref="G627">_xlfn.IFS(F627&lt;=25,"YOUTH",F627&lt;=48,"ADULT",TRUE,"SENIOR")</f>
        <v>ADULT</v>
      </c>
      <c r="H627" s="1" t="s">
        <v>29</v>
      </c>
      <c r="I627" s="1" t="s">
        <v>22</v>
      </c>
      <c r="J627" s="1" t="s">
        <v>23</v>
      </c>
      <c r="K627" s="1" t="s">
        <v>31</v>
      </c>
      <c r="L627" s="1">
        <v>20797</v>
      </c>
      <c r="M627" s="3">
        <f t="shared" si="27"/>
        <v>5.4815598403615905E-2</v>
      </c>
      <c r="N627" s="1">
        <v>1140</v>
      </c>
      <c r="O627" s="4">
        <f t="shared" si="28"/>
        <v>21.111111111111111</v>
      </c>
      <c r="P627" s="1">
        <v>54</v>
      </c>
      <c r="Q627" s="1">
        <v>3026.1192424113801</v>
      </c>
      <c r="R627" s="1">
        <v>2153.56745409933</v>
      </c>
      <c r="S627" s="5">
        <f t="shared" si="29"/>
        <v>2152.56745409933</v>
      </c>
      <c r="T627" s="1">
        <v>552</v>
      </c>
      <c r="U627" s="1">
        <v>38</v>
      </c>
      <c r="V627" s="1">
        <v>32</v>
      </c>
      <c r="W627" s="1">
        <v>748</v>
      </c>
      <c r="X627" s="1">
        <v>0.785954805753318</v>
      </c>
    </row>
    <row r="628" spans="1:24" x14ac:dyDescent="0.3">
      <c r="A628" s="2">
        <v>45346</v>
      </c>
      <c r="B628" s="1" t="s">
        <v>34</v>
      </c>
      <c r="C628" s="1" t="s">
        <v>35</v>
      </c>
      <c r="D628" s="1" t="s">
        <v>32</v>
      </c>
      <c r="E628" s="1" t="s">
        <v>28</v>
      </c>
      <c r="F628" s="1">
        <v>53</v>
      </c>
      <c r="G628" s="1" t="str" cm="1">
        <f t="array" ref="G628">_xlfn.IFS(F628&lt;=25,"YOUTH",F628&lt;=48,"ADULT",TRUE,"SENIOR")</f>
        <v>SENIOR</v>
      </c>
      <c r="H628" s="1" t="s">
        <v>29</v>
      </c>
      <c r="I628" s="1" t="s">
        <v>43</v>
      </c>
      <c r="J628" s="1" t="s">
        <v>23</v>
      </c>
      <c r="K628" s="1" t="s">
        <v>39</v>
      </c>
      <c r="L628" s="1">
        <v>41795</v>
      </c>
      <c r="M628" s="3">
        <f t="shared" si="27"/>
        <v>0.1378633807871755</v>
      </c>
      <c r="N628" s="1">
        <v>5762</v>
      </c>
      <c r="O628" s="4">
        <f t="shared" si="28"/>
        <v>8.0813464235624117</v>
      </c>
      <c r="P628" s="1">
        <v>713</v>
      </c>
      <c r="Q628" s="1">
        <v>3097.5917008730598</v>
      </c>
      <c r="R628" s="1">
        <v>47962.678274513702</v>
      </c>
      <c r="S628" s="5">
        <f t="shared" si="29"/>
        <v>47961.678274513702</v>
      </c>
      <c r="T628" s="1">
        <v>569</v>
      </c>
      <c r="U628" s="1">
        <v>92</v>
      </c>
      <c r="V628" s="1">
        <v>35</v>
      </c>
      <c r="W628" s="1">
        <v>7849</v>
      </c>
      <c r="X628" s="1">
        <v>0.64147917197326698</v>
      </c>
    </row>
    <row r="629" spans="1:24" x14ac:dyDescent="0.3">
      <c r="A629" s="2">
        <v>45326</v>
      </c>
      <c r="B629" s="1" t="s">
        <v>40</v>
      </c>
      <c r="C629" s="1" t="s">
        <v>18</v>
      </c>
      <c r="D629" s="1" t="s">
        <v>27</v>
      </c>
      <c r="E629" s="1" t="s">
        <v>20</v>
      </c>
      <c r="F629" s="1">
        <v>43</v>
      </c>
      <c r="G629" s="1" t="str" cm="1">
        <f t="array" ref="G629">_xlfn.IFS(F629&lt;=25,"YOUTH",F629&lt;=48,"ADULT",TRUE,"SENIOR")</f>
        <v>ADULT</v>
      </c>
      <c r="H629" s="1" t="s">
        <v>21</v>
      </c>
      <c r="I629" s="1" t="s">
        <v>33</v>
      </c>
      <c r="J629" s="1" t="s">
        <v>23</v>
      </c>
      <c r="K629" s="1" t="s">
        <v>39</v>
      </c>
      <c r="L629" s="1">
        <v>33535</v>
      </c>
      <c r="M629" s="3">
        <f t="shared" si="27"/>
        <v>6.7272998359922467E-2</v>
      </c>
      <c r="N629" s="1">
        <v>2256</v>
      </c>
      <c r="O629" s="4">
        <f t="shared" si="28"/>
        <v>4.3636363636363633</v>
      </c>
      <c r="P629" s="1">
        <v>517</v>
      </c>
      <c r="Q629" s="1">
        <v>1828.1571124239599</v>
      </c>
      <c r="R629" s="1">
        <v>22362.405523223901</v>
      </c>
      <c r="S629" s="5">
        <f t="shared" si="29"/>
        <v>22361.405523223901</v>
      </c>
      <c r="T629" s="1">
        <v>452</v>
      </c>
      <c r="U629" s="1">
        <v>37</v>
      </c>
      <c r="V629" s="1">
        <v>34</v>
      </c>
      <c r="W629" s="1">
        <v>6424</v>
      </c>
      <c r="X629" s="1">
        <v>0.55826483230927804</v>
      </c>
    </row>
    <row r="630" spans="1:24" x14ac:dyDescent="0.3">
      <c r="A630" s="2">
        <v>45346</v>
      </c>
      <c r="B630" s="1" t="s">
        <v>25</v>
      </c>
      <c r="C630" s="1" t="s">
        <v>35</v>
      </c>
      <c r="D630" s="1" t="s">
        <v>36</v>
      </c>
      <c r="E630" s="1" t="s">
        <v>20</v>
      </c>
      <c r="F630" s="1">
        <v>25</v>
      </c>
      <c r="G630" s="1" t="str" cm="1">
        <f t="array" ref="G630">_xlfn.IFS(F630&lt;=25,"YOUTH",F630&lt;=48,"ADULT",TRUE,"SENIOR")</f>
        <v>YOUTH</v>
      </c>
      <c r="H630" s="1" t="s">
        <v>29</v>
      </c>
      <c r="I630" s="1" t="s">
        <v>43</v>
      </c>
      <c r="J630" s="1" t="s">
        <v>23</v>
      </c>
      <c r="K630" s="1" t="s">
        <v>31</v>
      </c>
      <c r="L630" s="1">
        <v>47300</v>
      </c>
      <c r="M630" s="3">
        <f t="shared" si="27"/>
        <v>0.11473572938689218</v>
      </c>
      <c r="N630" s="1">
        <v>5427</v>
      </c>
      <c r="O630" s="4">
        <f t="shared" si="28"/>
        <v>4.8282918149466196</v>
      </c>
      <c r="P630" s="1">
        <v>1124</v>
      </c>
      <c r="Q630" s="1">
        <v>2806.6391467316398</v>
      </c>
      <c r="R630" s="1">
        <v>6427.1044292455299</v>
      </c>
      <c r="S630" s="5">
        <f t="shared" si="29"/>
        <v>6426.1044292455299</v>
      </c>
      <c r="T630" s="1">
        <v>1300</v>
      </c>
      <c r="U630" s="1">
        <v>255</v>
      </c>
      <c r="V630" s="1">
        <v>126</v>
      </c>
      <c r="W630" s="1">
        <v>8171</v>
      </c>
      <c r="X630" s="1">
        <v>0.483748877119763</v>
      </c>
    </row>
    <row r="631" spans="1:24" x14ac:dyDescent="0.3">
      <c r="A631" s="2">
        <v>45305</v>
      </c>
      <c r="B631" s="1" t="s">
        <v>25</v>
      </c>
      <c r="C631" s="1" t="s">
        <v>26</v>
      </c>
      <c r="D631" s="1" t="s">
        <v>36</v>
      </c>
      <c r="E631" s="1" t="s">
        <v>28</v>
      </c>
      <c r="F631" s="1">
        <v>45</v>
      </c>
      <c r="G631" s="1" t="str" cm="1">
        <f t="array" ref="G631">_xlfn.IFS(F631&lt;=25,"YOUTH",F631&lt;=48,"ADULT",TRUE,"SENIOR")</f>
        <v>ADULT</v>
      </c>
      <c r="H631" s="1" t="s">
        <v>21</v>
      </c>
      <c r="I631" s="1" t="s">
        <v>43</v>
      </c>
      <c r="J631" s="1" t="s">
        <v>23</v>
      </c>
      <c r="K631" s="1" t="s">
        <v>31</v>
      </c>
      <c r="L631" s="1">
        <v>48176</v>
      </c>
      <c r="M631" s="3">
        <f t="shared" si="27"/>
        <v>2.5884257721687148E-2</v>
      </c>
      <c r="N631" s="1">
        <v>1247</v>
      </c>
      <c r="O631" s="4">
        <f t="shared" si="28"/>
        <v>7.2080924855491331</v>
      </c>
      <c r="P631" s="1">
        <v>173</v>
      </c>
      <c r="Q631" s="1">
        <v>2646.8650166303401</v>
      </c>
      <c r="R631" s="1">
        <v>1536.44912533501</v>
      </c>
      <c r="S631" s="5">
        <f t="shared" si="29"/>
        <v>1535.44912533501</v>
      </c>
      <c r="T631" s="1">
        <v>300</v>
      </c>
      <c r="U631" s="1">
        <v>17</v>
      </c>
      <c r="V631" s="1">
        <v>16</v>
      </c>
      <c r="W631" s="1">
        <v>8206</v>
      </c>
      <c r="X631" s="1">
        <v>0.69033081433925902</v>
      </c>
    </row>
    <row r="632" spans="1:24" x14ac:dyDescent="0.3">
      <c r="A632" s="2">
        <v>45340</v>
      </c>
      <c r="B632" s="1" t="s">
        <v>34</v>
      </c>
      <c r="C632" s="1" t="s">
        <v>41</v>
      </c>
      <c r="D632" s="1" t="s">
        <v>36</v>
      </c>
      <c r="E632" s="1" t="s">
        <v>20</v>
      </c>
      <c r="F632" s="1">
        <v>45</v>
      </c>
      <c r="G632" s="1" t="str" cm="1">
        <f t="array" ref="G632">_xlfn.IFS(F632&lt;=25,"YOUTH",F632&lt;=48,"ADULT",TRUE,"SENIOR")</f>
        <v>ADULT</v>
      </c>
      <c r="H632" s="1" t="s">
        <v>21</v>
      </c>
      <c r="I632" s="1" t="s">
        <v>22</v>
      </c>
      <c r="J632" s="1" t="s">
        <v>38</v>
      </c>
      <c r="K632" s="1" t="s">
        <v>39</v>
      </c>
      <c r="L632" s="1">
        <v>17105</v>
      </c>
      <c r="M632" s="3">
        <f t="shared" si="27"/>
        <v>4.4606840105232387E-2</v>
      </c>
      <c r="N632" s="1">
        <v>763</v>
      </c>
      <c r="O632" s="4">
        <f t="shared" si="28"/>
        <v>5.0866666666666669</v>
      </c>
      <c r="P632" s="1">
        <v>150</v>
      </c>
      <c r="Q632" s="1">
        <v>1525.62838905082</v>
      </c>
      <c r="R632" s="1">
        <v>10430.418477634599</v>
      </c>
      <c r="S632" s="5">
        <f t="shared" si="29"/>
        <v>10429.418477634599</v>
      </c>
      <c r="T632" s="1">
        <v>235</v>
      </c>
      <c r="U632" s="1">
        <v>24</v>
      </c>
      <c r="V632" s="1">
        <v>12</v>
      </c>
      <c r="W632" s="1">
        <v>491</v>
      </c>
      <c r="X632" s="1">
        <v>0.72683946195995497</v>
      </c>
    </row>
    <row r="633" spans="1:24" x14ac:dyDescent="0.3">
      <c r="A633" s="2">
        <v>45310</v>
      </c>
      <c r="B633" s="1" t="s">
        <v>40</v>
      </c>
      <c r="C633" s="1" t="s">
        <v>41</v>
      </c>
      <c r="D633" s="1" t="s">
        <v>36</v>
      </c>
      <c r="E633" s="1" t="s">
        <v>28</v>
      </c>
      <c r="F633" s="1">
        <v>54</v>
      </c>
      <c r="G633" s="1" t="str" cm="1">
        <f t="array" ref="G633">_xlfn.IFS(F633&lt;=25,"YOUTH",F633&lt;=48,"ADULT",TRUE,"SENIOR")</f>
        <v>SENIOR</v>
      </c>
      <c r="H633" s="1" t="s">
        <v>21</v>
      </c>
      <c r="I633" s="1" t="s">
        <v>43</v>
      </c>
      <c r="J633" s="1" t="s">
        <v>23</v>
      </c>
      <c r="K633" s="1" t="s">
        <v>31</v>
      </c>
      <c r="L633" s="1">
        <v>8939</v>
      </c>
      <c r="M633" s="3">
        <f t="shared" si="27"/>
        <v>0.12294440093970242</v>
      </c>
      <c r="N633" s="1">
        <v>1099</v>
      </c>
      <c r="O633" s="4">
        <f t="shared" si="28"/>
        <v>7.1363636363636367</v>
      </c>
      <c r="P633" s="1">
        <v>154</v>
      </c>
      <c r="Q633" s="1">
        <v>883.99357685122504</v>
      </c>
      <c r="R633" s="1">
        <v>1490.1830559867899</v>
      </c>
      <c r="S633" s="5">
        <f t="shared" si="29"/>
        <v>1489.1830559867899</v>
      </c>
      <c r="T633" s="1">
        <v>71</v>
      </c>
      <c r="U633" s="1">
        <v>8</v>
      </c>
      <c r="V633" s="1">
        <v>3</v>
      </c>
      <c r="W633" s="1">
        <v>1776</v>
      </c>
      <c r="X633" s="1">
        <v>0.71283212545979602</v>
      </c>
    </row>
    <row r="634" spans="1:24" x14ac:dyDescent="0.3">
      <c r="A634" s="2">
        <v>45329</v>
      </c>
      <c r="B634" s="1" t="s">
        <v>25</v>
      </c>
      <c r="C634" s="1" t="s">
        <v>41</v>
      </c>
      <c r="D634" s="1" t="s">
        <v>36</v>
      </c>
      <c r="E634" s="1" t="s">
        <v>20</v>
      </c>
      <c r="F634" s="1">
        <v>58</v>
      </c>
      <c r="G634" s="1" t="str" cm="1">
        <f t="array" ref="G634">_xlfn.IFS(F634&lt;=25,"YOUTH",F634&lt;=48,"ADULT",TRUE,"SENIOR")</f>
        <v>SENIOR</v>
      </c>
      <c r="H634" s="1" t="s">
        <v>29</v>
      </c>
      <c r="I634" s="1" t="s">
        <v>43</v>
      </c>
      <c r="J634" s="1" t="s">
        <v>23</v>
      </c>
      <c r="K634" s="1" t="s">
        <v>24</v>
      </c>
      <c r="L634" s="1">
        <v>14936</v>
      </c>
      <c r="M634" s="3">
        <f t="shared" si="27"/>
        <v>0.11676486341724691</v>
      </c>
      <c r="N634" s="1">
        <v>1744</v>
      </c>
      <c r="O634" s="4">
        <f t="shared" si="28"/>
        <v>17.795918367346939</v>
      </c>
      <c r="P634" s="1">
        <v>98</v>
      </c>
      <c r="Q634" s="1">
        <v>1247.7731625377701</v>
      </c>
      <c r="R634" s="1">
        <v>783.30766948600296</v>
      </c>
      <c r="S634" s="5">
        <f t="shared" si="29"/>
        <v>782.30766948600296</v>
      </c>
      <c r="T634" s="1">
        <v>85</v>
      </c>
      <c r="U634" s="1">
        <v>14</v>
      </c>
      <c r="V634" s="1">
        <v>7</v>
      </c>
      <c r="W634" s="1">
        <v>1285</v>
      </c>
      <c r="X634" s="1">
        <v>0.46410159988845401</v>
      </c>
    </row>
    <row r="635" spans="1:24" x14ac:dyDescent="0.3">
      <c r="A635" s="2">
        <v>45327</v>
      </c>
      <c r="B635" s="1" t="s">
        <v>34</v>
      </c>
      <c r="C635" s="1" t="s">
        <v>41</v>
      </c>
      <c r="D635" s="1" t="s">
        <v>32</v>
      </c>
      <c r="E635" s="1" t="s">
        <v>20</v>
      </c>
      <c r="F635" s="1">
        <v>53</v>
      </c>
      <c r="G635" s="1" t="str" cm="1">
        <f t="array" ref="G635">_xlfn.IFS(F635&lt;=25,"YOUTH",F635&lt;=48,"ADULT",TRUE,"SENIOR")</f>
        <v>SENIOR</v>
      </c>
      <c r="H635" s="1" t="s">
        <v>21</v>
      </c>
      <c r="I635" s="1" t="s">
        <v>37</v>
      </c>
      <c r="J635" s="1" t="s">
        <v>23</v>
      </c>
      <c r="K635" s="1" t="s">
        <v>31</v>
      </c>
      <c r="L635" s="1">
        <v>43029</v>
      </c>
      <c r="M635" s="3">
        <f t="shared" si="27"/>
        <v>6.4049826860954243E-2</v>
      </c>
      <c r="N635" s="1">
        <v>2756</v>
      </c>
      <c r="O635" s="4">
        <f t="shared" si="28"/>
        <v>20.567164179104477</v>
      </c>
      <c r="P635" s="1">
        <v>134</v>
      </c>
      <c r="Q635" s="1">
        <v>3142.8066237128401</v>
      </c>
      <c r="R635" s="1">
        <v>3744.8413861138802</v>
      </c>
      <c r="S635" s="5">
        <f t="shared" si="29"/>
        <v>3743.8413861138802</v>
      </c>
      <c r="T635" s="1">
        <v>336</v>
      </c>
      <c r="U635" s="1">
        <v>55</v>
      </c>
      <c r="V635" s="1">
        <v>10</v>
      </c>
      <c r="W635" s="1">
        <v>1763</v>
      </c>
      <c r="X635" s="1">
        <v>0.71349302574630802</v>
      </c>
    </row>
    <row r="636" spans="1:24" x14ac:dyDescent="0.3">
      <c r="A636" s="2">
        <v>45298</v>
      </c>
      <c r="B636" s="1" t="s">
        <v>25</v>
      </c>
      <c r="C636" s="1" t="s">
        <v>18</v>
      </c>
      <c r="D636" s="1" t="s">
        <v>27</v>
      </c>
      <c r="E636" s="1" t="s">
        <v>20</v>
      </c>
      <c r="F636" s="1">
        <v>44</v>
      </c>
      <c r="G636" s="1" t="str" cm="1">
        <f t="array" ref="G636">_xlfn.IFS(F636&lt;=25,"YOUTH",F636&lt;=48,"ADULT",TRUE,"SENIOR")</f>
        <v>ADULT</v>
      </c>
      <c r="H636" s="1" t="s">
        <v>21</v>
      </c>
      <c r="I636" s="1" t="s">
        <v>37</v>
      </c>
      <c r="J636" s="1" t="s">
        <v>23</v>
      </c>
      <c r="K636" s="1" t="s">
        <v>24</v>
      </c>
      <c r="L636" s="1">
        <v>16863</v>
      </c>
      <c r="M636" s="3">
        <f t="shared" si="27"/>
        <v>0.14356876000711616</v>
      </c>
      <c r="N636" s="1">
        <v>2421</v>
      </c>
      <c r="O636" s="4">
        <f t="shared" si="28"/>
        <v>15.823529411764707</v>
      </c>
      <c r="P636" s="1">
        <v>153</v>
      </c>
      <c r="Q636" s="1">
        <v>800.43694651044098</v>
      </c>
      <c r="R636" s="1">
        <v>10404.859586513499</v>
      </c>
      <c r="S636" s="5">
        <f t="shared" si="29"/>
        <v>10403.859586513499</v>
      </c>
      <c r="T636" s="1">
        <v>266</v>
      </c>
      <c r="U636" s="1">
        <v>28</v>
      </c>
      <c r="V636" s="1">
        <v>12</v>
      </c>
      <c r="W636" s="1">
        <v>2770</v>
      </c>
      <c r="X636" s="1">
        <v>0.49262775874282699</v>
      </c>
    </row>
    <row r="637" spans="1:24" x14ac:dyDescent="0.3">
      <c r="A637" s="2">
        <v>45321</v>
      </c>
      <c r="B637" s="1" t="s">
        <v>40</v>
      </c>
      <c r="C637" s="1" t="s">
        <v>18</v>
      </c>
      <c r="D637" s="1" t="s">
        <v>36</v>
      </c>
      <c r="E637" s="1" t="s">
        <v>20</v>
      </c>
      <c r="F637" s="1">
        <v>34</v>
      </c>
      <c r="G637" s="1" t="str" cm="1">
        <f t="array" ref="G637">_xlfn.IFS(F637&lt;=25,"YOUTH",F637&lt;=48,"ADULT",TRUE,"SENIOR")</f>
        <v>ADULT</v>
      </c>
      <c r="H637" s="1" t="s">
        <v>21</v>
      </c>
      <c r="I637" s="1" t="s">
        <v>33</v>
      </c>
      <c r="J637" s="1" t="s">
        <v>38</v>
      </c>
      <c r="K637" s="1" t="s">
        <v>39</v>
      </c>
      <c r="L637" s="1">
        <v>13561</v>
      </c>
      <c r="M637" s="3">
        <f t="shared" si="27"/>
        <v>0.13745299019246368</v>
      </c>
      <c r="N637" s="1">
        <v>1864</v>
      </c>
      <c r="O637" s="4">
        <f t="shared" si="28"/>
        <v>9.9679144385026746</v>
      </c>
      <c r="P637" s="1">
        <v>187</v>
      </c>
      <c r="Q637" s="1">
        <v>1121.8435822152601</v>
      </c>
      <c r="R637" s="1">
        <v>4808.4964936229799</v>
      </c>
      <c r="S637" s="5">
        <f t="shared" si="29"/>
        <v>4807.4964936229799</v>
      </c>
      <c r="T637" s="1">
        <v>300</v>
      </c>
      <c r="U637" s="1">
        <v>40</v>
      </c>
      <c r="V637" s="1">
        <v>23</v>
      </c>
      <c r="W637" s="1">
        <v>717</v>
      </c>
      <c r="X637" s="1">
        <v>0.76504279100000006</v>
      </c>
    </row>
    <row r="638" spans="1:24" x14ac:dyDescent="0.3">
      <c r="A638" s="2">
        <v>45310</v>
      </c>
      <c r="B638" s="1" t="s">
        <v>40</v>
      </c>
      <c r="C638" s="1" t="s">
        <v>35</v>
      </c>
      <c r="D638" s="1" t="s">
        <v>27</v>
      </c>
      <c r="E638" s="1" t="s">
        <v>20</v>
      </c>
      <c r="F638" s="1">
        <v>26</v>
      </c>
      <c r="G638" s="1" t="str" cm="1">
        <f t="array" ref="G638">_xlfn.IFS(F638&lt;=25,"YOUTH",F638&lt;=48,"ADULT",TRUE,"SENIOR")</f>
        <v>ADULT</v>
      </c>
      <c r="H638" s="1" t="s">
        <v>29</v>
      </c>
      <c r="I638" s="1" t="s">
        <v>37</v>
      </c>
      <c r="J638" s="1" t="s">
        <v>23</v>
      </c>
      <c r="K638" s="1" t="s">
        <v>24</v>
      </c>
      <c r="L638" s="1">
        <v>11447</v>
      </c>
      <c r="M638" s="3">
        <f t="shared" si="27"/>
        <v>0.14466672490608892</v>
      </c>
      <c r="N638" s="1">
        <v>1656</v>
      </c>
      <c r="O638" s="4">
        <f t="shared" si="28"/>
        <v>4.2790697674418601</v>
      </c>
      <c r="P638" s="1">
        <v>387</v>
      </c>
      <c r="Q638" s="1">
        <v>736.53835943657498</v>
      </c>
      <c r="R638" s="1">
        <v>12245.6353121674</v>
      </c>
      <c r="S638" s="5">
        <f t="shared" si="29"/>
        <v>12244.6353121674</v>
      </c>
      <c r="T638" s="1">
        <v>140</v>
      </c>
      <c r="U638" s="1">
        <v>24</v>
      </c>
      <c r="V638" s="1">
        <v>2</v>
      </c>
      <c r="W638" s="1">
        <v>1258</v>
      </c>
      <c r="X638" s="1">
        <v>0.636161198166043</v>
      </c>
    </row>
    <row r="639" spans="1:24" x14ac:dyDescent="0.3">
      <c r="A639" s="2">
        <v>45340</v>
      </c>
      <c r="B639" s="1" t="s">
        <v>40</v>
      </c>
      <c r="C639" s="1" t="s">
        <v>18</v>
      </c>
      <c r="D639" s="1" t="s">
        <v>19</v>
      </c>
      <c r="E639" s="1" t="s">
        <v>20</v>
      </c>
      <c r="F639" s="1">
        <v>50</v>
      </c>
      <c r="G639" s="1" t="str" cm="1">
        <f t="array" ref="G639">_xlfn.IFS(F639&lt;=25,"YOUTH",F639&lt;=48,"ADULT",TRUE,"SENIOR")</f>
        <v>SENIOR</v>
      </c>
      <c r="H639" s="1" t="s">
        <v>42</v>
      </c>
      <c r="I639" s="1" t="s">
        <v>37</v>
      </c>
      <c r="J639" s="1" t="s">
        <v>23</v>
      </c>
      <c r="K639" s="1" t="s">
        <v>39</v>
      </c>
      <c r="L639" s="1">
        <v>31624</v>
      </c>
      <c r="M639" s="3">
        <f t="shared" si="27"/>
        <v>6.9883632684037439E-2</v>
      </c>
      <c r="N639" s="1">
        <v>2210</v>
      </c>
      <c r="O639" s="4">
        <f t="shared" si="28"/>
        <v>4.9111111111111114</v>
      </c>
      <c r="P639" s="1">
        <v>450</v>
      </c>
      <c r="Q639" s="1">
        <v>2859.0439390195202</v>
      </c>
      <c r="R639" s="1">
        <v>20796.754040350501</v>
      </c>
      <c r="S639" s="5">
        <f t="shared" si="29"/>
        <v>20795.754040350501</v>
      </c>
      <c r="T639" s="1">
        <v>829</v>
      </c>
      <c r="U639" s="1">
        <v>43</v>
      </c>
      <c r="V639" s="1">
        <v>35</v>
      </c>
      <c r="W639" s="1">
        <v>1085</v>
      </c>
      <c r="X639" s="1">
        <v>0.86683372325653496</v>
      </c>
    </row>
    <row r="640" spans="1:24" x14ac:dyDescent="0.3">
      <c r="A640" s="2">
        <v>45316</v>
      </c>
      <c r="B640" s="1" t="s">
        <v>25</v>
      </c>
      <c r="C640" s="1" t="s">
        <v>26</v>
      </c>
      <c r="D640" s="1" t="s">
        <v>36</v>
      </c>
      <c r="E640" s="1" t="s">
        <v>28</v>
      </c>
      <c r="F640" s="1">
        <v>37</v>
      </c>
      <c r="G640" s="1" t="str" cm="1">
        <f t="array" ref="G640">_xlfn.IFS(F640&lt;=25,"YOUTH",F640&lt;=48,"ADULT",TRUE,"SENIOR")</f>
        <v>ADULT</v>
      </c>
      <c r="H640" s="1" t="s">
        <v>29</v>
      </c>
      <c r="I640" s="1" t="s">
        <v>37</v>
      </c>
      <c r="J640" s="1" t="s">
        <v>23</v>
      </c>
      <c r="K640" s="1" t="s">
        <v>39</v>
      </c>
      <c r="L640" s="1">
        <v>47940</v>
      </c>
      <c r="M640" s="3">
        <f t="shared" si="27"/>
        <v>3.7630371297455154E-2</v>
      </c>
      <c r="N640" s="1">
        <v>1804</v>
      </c>
      <c r="O640" s="4">
        <f t="shared" si="28"/>
        <v>8.3906976744186039</v>
      </c>
      <c r="P640" s="1">
        <v>215</v>
      </c>
      <c r="Q640" s="1">
        <v>5166.7154753515397</v>
      </c>
      <c r="R640" s="1">
        <v>1411.9629545864</v>
      </c>
      <c r="S640" s="5">
        <f t="shared" si="29"/>
        <v>1410.9629545864</v>
      </c>
      <c r="T640" s="1">
        <v>764</v>
      </c>
      <c r="U640" s="1">
        <v>130</v>
      </c>
      <c r="V640" s="1">
        <v>54</v>
      </c>
      <c r="W640" s="1">
        <v>4802</v>
      </c>
      <c r="X640" s="1">
        <v>0.82804615963657802</v>
      </c>
    </row>
    <row r="641" spans="1:24" x14ac:dyDescent="0.3">
      <c r="A641" s="2">
        <v>45307</v>
      </c>
      <c r="B641" s="1" t="s">
        <v>17</v>
      </c>
      <c r="C641" s="1" t="s">
        <v>26</v>
      </c>
      <c r="D641" s="1" t="s">
        <v>36</v>
      </c>
      <c r="E641" s="1" t="s">
        <v>20</v>
      </c>
      <c r="F641" s="1">
        <v>30</v>
      </c>
      <c r="G641" s="1" t="str" cm="1">
        <f t="array" ref="G641">_xlfn.IFS(F641&lt;=25,"YOUTH",F641&lt;=48,"ADULT",TRUE,"SENIOR")</f>
        <v>ADULT</v>
      </c>
      <c r="H641" s="1" t="s">
        <v>29</v>
      </c>
      <c r="I641" s="1" t="s">
        <v>37</v>
      </c>
      <c r="J641" s="1" t="s">
        <v>38</v>
      </c>
      <c r="K641" s="1" t="s">
        <v>31</v>
      </c>
      <c r="L641" s="1">
        <v>45646</v>
      </c>
      <c r="M641" s="3">
        <f t="shared" si="27"/>
        <v>9.7730359724838983E-2</v>
      </c>
      <c r="N641" s="1">
        <v>4461</v>
      </c>
      <c r="O641" s="4">
        <f t="shared" si="28"/>
        <v>7.4974789915966387</v>
      </c>
      <c r="P641" s="1">
        <v>595</v>
      </c>
      <c r="Q641" s="1">
        <v>4670.9817768633502</v>
      </c>
      <c r="R641" s="1">
        <v>37696.0063605545</v>
      </c>
      <c r="S641" s="5">
        <f t="shared" si="29"/>
        <v>37695.0063605545</v>
      </c>
      <c r="T641" s="1">
        <v>1333</v>
      </c>
      <c r="U641" s="1">
        <v>255</v>
      </c>
      <c r="V641" s="1">
        <v>46</v>
      </c>
      <c r="W641" s="1">
        <v>5297</v>
      </c>
      <c r="X641" s="1">
        <v>0.79841012833414804</v>
      </c>
    </row>
    <row r="642" spans="1:24" x14ac:dyDescent="0.3">
      <c r="A642" s="2">
        <v>45338</v>
      </c>
      <c r="B642" s="1" t="s">
        <v>25</v>
      </c>
      <c r="C642" s="1" t="s">
        <v>41</v>
      </c>
      <c r="D642" s="1" t="s">
        <v>27</v>
      </c>
      <c r="E642" s="1" t="s">
        <v>20</v>
      </c>
      <c r="F642" s="1">
        <v>45</v>
      </c>
      <c r="G642" s="1" t="str" cm="1">
        <f t="array" ref="G642">_xlfn.IFS(F642&lt;=25,"YOUTH",F642&lt;=48,"ADULT",TRUE,"SENIOR")</f>
        <v>ADULT</v>
      </c>
      <c r="H642" s="1" t="s">
        <v>29</v>
      </c>
      <c r="I642" s="1" t="s">
        <v>22</v>
      </c>
      <c r="J642" s="1" t="s">
        <v>23</v>
      </c>
      <c r="K642" s="1" t="s">
        <v>31</v>
      </c>
      <c r="L642" s="1">
        <v>13411</v>
      </c>
      <c r="M642" s="3">
        <f t="shared" si="27"/>
        <v>0.10580866452911789</v>
      </c>
      <c r="N642" s="1">
        <v>1419</v>
      </c>
      <c r="O642" s="4">
        <f t="shared" si="28"/>
        <v>12.339130434782609</v>
      </c>
      <c r="P642" s="1">
        <v>115</v>
      </c>
      <c r="Q642" s="1">
        <v>1074.5393075274201</v>
      </c>
      <c r="R642" s="1">
        <v>4457.8365562193703</v>
      </c>
      <c r="S642" s="5">
        <f t="shared" si="29"/>
        <v>4456.8365562193703</v>
      </c>
      <c r="T642" s="1">
        <v>386</v>
      </c>
      <c r="U642" s="1">
        <v>21</v>
      </c>
      <c r="V642" s="1">
        <v>17</v>
      </c>
      <c r="W642" s="1">
        <v>1270</v>
      </c>
      <c r="X642" s="1">
        <v>0.78540540463386599</v>
      </c>
    </row>
    <row r="643" spans="1:24" x14ac:dyDescent="0.3">
      <c r="A643" s="2">
        <v>45345</v>
      </c>
      <c r="B643" s="1" t="s">
        <v>17</v>
      </c>
      <c r="C643" s="1" t="s">
        <v>26</v>
      </c>
      <c r="D643" s="1" t="s">
        <v>36</v>
      </c>
      <c r="E643" s="1" t="s">
        <v>20</v>
      </c>
      <c r="F643" s="1">
        <v>46</v>
      </c>
      <c r="G643" s="1" t="str" cm="1">
        <f t="array" ref="G643">_xlfn.IFS(F643&lt;=25,"YOUTH",F643&lt;=48,"ADULT",TRUE,"SENIOR")</f>
        <v>ADULT</v>
      </c>
      <c r="H643" s="1" t="s">
        <v>21</v>
      </c>
      <c r="I643" s="1" t="s">
        <v>37</v>
      </c>
      <c r="J643" s="1" t="s">
        <v>23</v>
      </c>
      <c r="K643" s="1" t="s">
        <v>31</v>
      </c>
      <c r="L643" s="1">
        <v>20465</v>
      </c>
      <c r="M643" s="3">
        <f t="shared" ref="M643:M706" si="30">(N643/L643)</f>
        <v>2.7559247495724408E-2</v>
      </c>
      <c r="N643" s="1">
        <v>564</v>
      </c>
      <c r="O643" s="4">
        <f t="shared" ref="O643:O706" si="31">(N643/P643)</f>
        <v>5.5294117647058822</v>
      </c>
      <c r="P643" s="1">
        <v>102</v>
      </c>
      <c r="Q643" s="1">
        <v>1888.64967217562</v>
      </c>
      <c r="R643" s="1">
        <v>3604.9563068069001</v>
      </c>
      <c r="S643" s="5">
        <f t="shared" ref="S643:S706" si="32">(R643-Q643/Q643)</f>
        <v>3603.9563068069001</v>
      </c>
      <c r="T643" s="1">
        <v>497</v>
      </c>
      <c r="U643" s="1">
        <v>28</v>
      </c>
      <c r="V643" s="1">
        <v>29</v>
      </c>
      <c r="W643" s="1">
        <v>474</v>
      </c>
      <c r="X643" s="1">
        <v>0.70826842199999995</v>
      </c>
    </row>
    <row r="644" spans="1:24" x14ac:dyDescent="0.3">
      <c r="A644" s="2">
        <v>45331</v>
      </c>
      <c r="B644" s="1" t="s">
        <v>40</v>
      </c>
      <c r="C644" s="1" t="s">
        <v>35</v>
      </c>
      <c r="D644" s="1" t="s">
        <v>36</v>
      </c>
      <c r="E644" s="1" t="s">
        <v>28</v>
      </c>
      <c r="F644" s="1">
        <v>30</v>
      </c>
      <c r="G644" s="1" t="str" cm="1">
        <f t="array" ref="G644">_xlfn.IFS(F644&lt;=25,"YOUTH",F644&lt;=48,"ADULT",TRUE,"SENIOR")</f>
        <v>ADULT</v>
      </c>
      <c r="H644" s="1" t="s">
        <v>29</v>
      </c>
      <c r="I644" s="1" t="s">
        <v>22</v>
      </c>
      <c r="J644" s="1" t="s">
        <v>38</v>
      </c>
      <c r="K644" s="1" t="s">
        <v>24</v>
      </c>
      <c r="L644" s="1">
        <v>39216</v>
      </c>
      <c r="M644" s="3">
        <f t="shared" si="30"/>
        <v>0.12010403916768665</v>
      </c>
      <c r="N644" s="1">
        <v>4710</v>
      </c>
      <c r="O644" s="4">
        <f t="shared" si="31"/>
        <v>4.8909657320872277</v>
      </c>
      <c r="P644" s="1">
        <v>963</v>
      </c>
      <c r="Q644" s="1">
        <v>2236.53934412842</v>
      </c>
      <c r="R644" s="1">
        <v>58692.185420823997</v>
      </c>
      <c r="S644" s="5">
        <f t="shared" si="32"/>
        <v>58691.185420823997</v>
      </c>
      <c r="T644" s="1">
        <v>1110</v>
      </c>
      <c r="U644" s="1">
        <v>112</v>
      </c>
      <c r="V644" s="1">
        <v>59</v>
      </c>
      <c r="W644" s="1">
        <v>4005</v>
      </c>
      <c r="X644" s="1">
        <v>0.43361246687058902</v>
      </c>
    </row>
    <row r="645" spans="1:24" x14ac:dyDescent="0.3">
      <c r="A645" s="2">
        <v>45342</v>
      </c>
      <c r="B645" s="1" t="s">
        <v>34</v>
      </c>
      <c r="C645" s="1" t="s">
        <v>18</v>
      </c>
      <c r="D645" s="1" t="s">
        <v>36</v>
      </c>
      <c r="E645" s="1" t="s">
        <v>28</v>
      </c>
      <c r="F645" s="1">
        <v>52</v>
      </c>
      <c r="G645" s="1" t="str" cm="1">
        <f t="array" ref="G645">_xlfn.IFS(F645&lt;=25,"YOUTH",F645&lt;=48,"ADULT",TRUE,"SENIOR")</f>
        <v>SENIOR</v>
      </c>
      <c r="H645" s="1" t="s">
        <v>29</v>
      </c>
      <c r="I645" s="1" t="s">
        <v>22</v>
      </c>
      <c r="J645" s="1" t="s">
        <v>23</v>
      </c>
      <c r="K645" s="1" t="s">
        <v>24</v>
      </c>
      <c r="L645" s="1">
        <v>20642</v>
      </c>
      <c r="M645" s="3">
        <f t="shared" si="30"/>
        <v>1.2498788877046798E-2</v>
      </c>
      <c r="N645" s="1">
        <v>258</v>
      </c>
      <c r="O645" s="4">
        <f t="shared" si="31"/>
        <v>13.578947368421053</v>
      </c>
      <c r="P645" s="1">
        <v>19</v>
      </c>
      <c r="Q645" s="1">
        <v>477.88776547622098</v>
      </c>
      <c r="R645" s="1">
        <v>1272.0495878571501</v>
      </c>
      <c r="S645" s="5">
        <f t="shared" si="32"/>
        <v>1271.0495878571501</v>
      </c>
      <c r="T645" s="1">
        <v>468</v>
      </c>
      <c r="U645" s="1">
        <v>29</v>
      </c>
      <c r="V645" s="1">
        <v>13</v>
      </c>
      <c r="W645" s="1">
        <v>2045</v>
      </c>
      <c r="X645" s="1">
        <v>0.76051929294315002</v>
      </c>
    </row>
    <row r="646" spans="1:24" x14ac:dyDescent="0.3">
      <c r="A646" s="2">
        <v>45299</v>
      </c>
      <c r="B646" s="1" t="s">
        <v>17</v>
      </c>
      <c r="C646" s="1" t="s">
        <v>18</v>
      </c>
      <c r="D646" s="1" t="s">
        <v>32</v>
      </c>
      <c r="E646" s="1" t="s">
        <v>28</v>
      </c>
      <c r="F646" s="1">
        <v>23</v>
      </c>
      <c r="G646" s="1" t="str" cm="1">
        <f t="array" ref="G646">_xlfn.IFS(F646&lt;=25,"YOUTH",F646&lt;=48,"ADULT",TRUE,"SENIOR")</f>
        <v>YOUTH</v>
      </c>
      <c r="H646" s="1" t="s">
        <v>29</v>
      </c>
      <c r="I646" s="1" t="s">
        <v>37</v>
      </c>
      <c r="J646" s="1" t="s">
        <v>38</v>
      </c>
      <c r="K646" s="1" t="s">
        <v>31</v>
      </c>
      <c r="L646" s="1">
        <v>32262</v>
      </c>
      <c r="M646" s="3">
        <f t="shared" si="30"/>
        <v>7.7552538590291986E-2</v>
      </c>
      <c r="N646" s="1">
        <v>2502</v>
      </c>
      <c r="O646" s="4">
        <f t="shared" si="31"/>
        <v>33.810810810810814</v>
      </c>
      <c r="P646" s="1">
        <v>74</v>
      </c>
      <c r="Q646" s="1">
        <v>3266.6090919482699</v>
      </c>
      <c r="R646" s="1">
        <v>2406.6753642212698</v>
      </c>
      <c r="S646" s="5">
        <f t="shared" si="32"/>
        <v>2405.6753642212698</v>
      </c>
      <c r="T646" s="1">
        <v>883</v>
      </c>
      <c r="U646" s="1">
        <v>107</v>
      </c>
      <c r="V646" s="1">
        <v>83</v>
      </c>
      <c r="W646" s="1">
        <v>1926</v>
      </c>
      <c r="X646" s="1">
        <v>0.65680719766004303</v>
      </c>
    </row>
    <row r="647" spans="1:24" x14ac:dyDescent="0.3">
      <c r="A647" s="2">
        <v>45309</v>
      </c>
      <c r="B647" s="1" t="s">
        <v>40</v>
      </c>
      <c r="C647" s="1" t="s">
        <v>18</v>
      </c>
      <c r="D647" s="1" t="s">
        <v>32</v>
      </c>
      <c r="E647" s="1" t="s">
        <v>20</v>
      </c>
      <c r="F647" s="1">
        <v>35</v>
      </c>
      <c r="G647" s="1" t="str" cm="1">
        <f t="array" ref="G647">_xlfn.IFS(F647&lt;=25,"YOUTH",F647&lt;=48,"ADULT",TRUE,"SENIOR")</f>
        <v>ADULT</v>
      </c>
      <c r="H647" s="1" t="s">
        <v>29</v>
      </c>
      <c r="I647" s="1" t="s">
        <v>43</v>
      </c>
      <c r="J647" s="1" t="s">
        <v>38</v>
      </c>
      <c r="K647" s="1" t="s">
        <v>31</v>
      </c>
      <c r="L647" s="1">
        <v>31363</v>
      </c>
      <c r="M647" s="3">
        <f t="shared" si="30"/>
        <v>5.6340273570768103E-2</v>
      </c>
      <c r="N647" s="1">
        <v>1767</v>
      </c>
      <c r="O647" s="4">
        <f t="shared" si="31"/>
        <v>6.135416666666667</v>
      </c>
      <c r="P647" s="1">
        <v>288</v>
      </c>
      <c r="Q647" s="1">
        <v>1657.03000363058</v>
      </c>
      <c r="R647" s="1">
        <v>4668.0970043692696</v>
      </c>
      <c r="S647" s="5">
        <f t="shared" si="32"/>
        <v>4667.0970043692696</v>
      </c>
      <c r="T647" s="1">
        <v>342</v>
      </c>
      <c r="U647" s="1">
        <v>54</v>
      </c>
      <c r="V647" s="1">
        <v>8</v>
      </c>
      <c r="W647" s="1">
        <v>5805</v>
      </c>
      <c r="X647" s="1">
        <v>0.658255092696443</v>
      </c>
    </row>
    <row r="648" spans="1:24" x14ac:dyDescent="0.3">
      <c r="A648" s="2">
        <v>45319</v>
      </c>
      <c r="B648" s="1" t="s">
        <v>40</v>
      </c>
      <c r="C648" s="1" t="s">
        <v>26</v>
      </c>
      <c r="D648" s="1" t="s">
        <v>36</v>
      </c>
      <c r="E648" s="1" t="s">
        <v>20</v>
      </c>
      <c r="F648" s="1">
        <v>22</v>
      </c>
      <c r="G648" s="1" t="str" cm="1">
        <f t="array" ref="G648">_xlfn.IFS(F648&lt;=25,"YOUTH",F648&lt;=48,"ADULT",TRUE,"SENIOR")</f>
        <v>YOUTH</v>
      </c>
      <c r="H648" s="1" t="s">
        <v>21</v>
      </c>
      <c r="I648" s="1" t="s">
        <v>22</v>
      </c>
      <c r="J648" s="1" t="s">
        <v>23</v>
      </c>
      <c r="K648" s="1" t="s">
        <v>31</v>
      </c>
      <c r="L648" s="1">
        <v>3107</v>
      </c>
      <c r="M648" s="3">
        <f t="shared" si="30"/>
        <v>0.1136144190537496</v>
      </c>
      <c r="N648" s="1">
        <v>353</v>
      </c>
      <c r="O648" s="4">
        <f t="shared" si="31"/>
        <v>6.7884615384615383</v>
      </c>
      <c r="P648" s="1">
        <v>52</v>
      </c>
      <c r="Q648" s="1">
        <v>332.33709303367601</v>
      </c>
      <c r="R648" s="1">
        <v>3017.0973326070002</v>
      </c>
      <c r="S648" s="5">
        <f t="shared" si="32"/>
        <v>3016.0973326070002</v>
      </c>
      <c r="T648" s="1">
        <v>42</v>
      </c>
      <c r="U648" s="1">
        <v>5</v>
      </c>
      <c r="V648" s="1">
        <v>3</v>
      </c>
      <c r="W648" s="1">
        <v>277</v>
      </c>
      <c r="X648" s="1">
        <v>0.60846220750644797</v>
      </c>
    </row>
    <row r="649" spans="1:24" x14ac:dyDescent="0.3">
      <c r="A649" s="2">
        <v>45307</v>
      </c>
      <c r="B649" s="1" t="s">
        <v>17</v>
      </c>
      <c r="C649" s="1" t="s">
        <v>18</v>
      </c>
      <c r="D649" s="1" t="s">
        <v>32</v>
      </c>
      <c r="E649" s="1" t="s">
        <v>28</v>
      </c>
      <c r="F649" s="1">
        <v>42</v>
      </c>
      <c r="G649" s="1" t="str" cm="1">
        <f t="array" ref="G649">_xlfn.IFS(F649&lt;=25,"YOUTH",F649&lt;=48,"ADULT",TRUE,"SENIOR")</f>
        <v>ADULT</v>
      </c>
      <c r="H649" s="1" t="s">
        <v>21</v>
      </c>
      <c r="I649" s="1" t="s">
        <v>43</v>
      </c>
      <c r="J649" s="1" t="s">
        <v>23</v>
      </c>
      <c r="K649" s="1" t="s">
        <v>39</v>
      </c>
      <c r="L649" s="1">
        <v>8928</v>
      </c>
      <c r="M649" s="3">
        <f t="shared" si="30"/>
        <v>5.3763440860215055E-2</v>
      </c>
      <c r="N649" s="1">
        <v>480</v>
      </c>
      <c r="O649" s="4">
        <f t="shared" si="31"/>
        <v>9.0566037735849054</v>
      </c>
      <c r="P649" s="1">
        <v>53</v>
      </c>
      <c r="Q649" s="1">
        <v>1045.5679449722099</v>
      </c>
      <c r="R649" s="1">
        <v>1654.2321511114601</v>
      </c>
      <c r="S649" s="5">
        <f t="shared" si="32"/>
        <v>1653.2321511114601</v>
      </c>
      <c r="T649" s="1">
        <v>212</v>
      </c>
      <c r="U649" s="1">
        <v>16</v>
      </c>
      <c r="V649" s="1">
        <v>5</v>
      </c>
      <c r="W649" s="1">
        <v>1555</v>
      </c>
      <c r="X649" s="1">
        <v>0.91098900316293996</v>
      </c>
    </row>
    <row r="650" spans="1:24" x14ac:dyDescent="0.3">
      <c r="A650" s="2">
        <v>45343</v>
      </c>
      <c r="B650" s="1" t="s">
        <v>34</v>
      </c>
      <c r="C650" s="1" t="s">
        <v>41</v>
      </c>
      <c r="D650" s="1" t="s">
        <v>19</v>
      </c>
      <c r="E650" s="1" t="s">
        <v>28</v>
      </c>
      <c r="F650" s="1">
        <v>19</v>
      </c>
      <c r="G650" s="1" t="str" cm="1">
        <f t="array" ref="G650">_xlfn.IFS(F650&lt;=25,"YOUTH",F650&lt;=48,"ADULT",TRUE,"SENIOR")</f>
        <v>YOUTH</v>
      </c>
      <c r="H650" s="1" t="s">
        <v>29</v>
      </c>
      <c r="I650" s="1" t="s">
        <v>43</v>
      </c>
      <c r="J650" s="1" t="s">
        <v>23</v>
      </c>
      <c r="K650" s="1" t="s">
        <v>31</v>
      </c>
      <c r="L650" s="1">
        <v>49002</v>
      </c>
      <c r="M650" s="3">
        <f t="shared" si="30"/>
        <v>0.12574996938900454</v>
      </c>
      <c r="N650" s="1">
        <v>6162</v>
      </c>
      <c r="O650" s="4">
        <f t="shared" si="31"/>
        <v>5.9536231884057971</v>
      </c>
      <c r="P650" s="1">
        <v>1035</v>
      </c>
      <c r="Q650" s="1">
        <v>6814.7378838950699</v>
      </c>
      <c r="R650" s="1">
        <v>68113.826170654007</v>
      </c>
      <c r="S650" s="5">
        <f t="shared" si="32"/>
        <v>68112.826170654007</v>
      </c>
      <c r="T650" s="1">
        <v>765</v>
      </c>
      <c r="U650" s="1">
        <v>113</v>
      </c>
      <c r="V650" s="1">
        <v>43</v>
      </c>
      <c r="W650" s="1">
        <v>1511</v>
      </c>
      <c r="X650" s="1">
        <v>0.53719819682383696</v>
      </c>
    </row>
    <row r="651" spans="1:24" x14ac:dyDescent="0.3">
      <c r="A651" s="2">
        <v>45310</v>
      </c>
      <c r="B651" s="1" t="s">
        <v>40</v>
      </c>
      <c r="C651" s="1" t="s">
        <v>41</v>
      </c>
      <c r="D651" s="1" t="s">
        <v>36</v>
      </c>
      <c r="E651" s="1" t="s">
        <v>28</v>
      </c>
      <c r="F651" s="1">
        <v>27</v>
      </c>
      <c r="G651" s="1" t="str" cm="1">
        <f t="array" ref="G651">_xlfn.IFS(F651&lt;=25,"YOUTH",F651&lt;=48,"ADULT",TRUE,"SENIOR")</f>
        <v>ADULT</v>
      </c>
      <c r="H651" s="1" t="s">
        <v>21</v>
      </c>
      <c r="I651" s="1" t="s">
        <v>37</v>
      </c>
      <c r="J651" s="1" t="s">
        <v>23</v>
      </c>
      <c r="K651" s="1" t="s">
        <v>39</v>
      </c>
      <c r="L651" s="1">
        <v>20317</v>
      </c>
      <c r="M651" s="3">
        <f t="shared" si="30"/>
        <v>9.3271644435694245E-2</v>
      </c>
      <c r="N651" s="1">
        <v>1895</v>
      </c>
      <c r="O651" s="4">
        <f t="shared" si="31"/>
        <v>6.8411552346570401</v>
      </c>
      <c r="P651" s="1">
        <v>277</v>
      </c>
      <c r="Q651" s="1">
        <v>2936.9435086487001</v>
      </c>
      <c r="R651" s="1">
        <v>18487.9312038768</v>
      </c>
      <c r="S651" s="5">
        <f t="shared" si="32"/>
        <v>18486.9312038768</v>
      </c>
      <c r="T651" s="1">
        <v>526</v>
      </c>
      <c r="U651" s="1">
        <v>80</v>
      </c>
      <c r="V651" s="1">
        <v>17</v>
      </c>
      <c r="W651" s="1">
        <v>1434</v>
      </c>
      <c r="X651" s="1">
        <v>0.574126949375378</v>
      </c>
    </row>
    <row r="652" spans="1:24" x14ac:dyDescent="0.3">
      <c r="A652" s="2">
        <v>45333</v>
      </c>
      <c r="B652" s="1" t="s">
        <v>17</v>
      </c>
      <c r="C652" s="1" t="s">
        <v>41</v>
      </c>
      <c r="D652" s="1" t="s">
        <v>19</v>
      </c>
      <c r="E652" s="1" t="s">
        <v>20</v>
      </c>
      <c r="F652" s="1">
        <v>47</v>
      </c>
      <c r="G652" s="1" t="str" cm="1">
        <f t="array" ref="G652">_xlfn.IFS(F652&lt;=25,"YOUTH",F652&lt;=48,"ADULT",TRUE,"SENIOR")</f>
        <v>ADULT</v>
      </c>
      <c r="H652" s="1" t="s">
        <v>21</v>
      </c>
      <c r="I652" s="1" t="s">
        <v>33</v>
      </c>
      <c r="J652" s="1" t="s">
        <v>30</v>
      </c>
      <c r="K652" s="1" t="s">
        <v>24</v>
      </c>
      <c r="L652" s="1">
        <v>26017</v>
      </c>
      <c r="M652" s="3">
        <f t="shared" si="30"/>
        <v>0.12111311834569705</v>
      </c>
      <c r="N652" s="1">
        <v>3151</v>
      </c>
      <c r="O652" s="4">
        <f t="shared" si="31"/>
        <v>12.913934426229508</v>
      </c>
      <c r="P652" s="1">
        <v>244</v>
      </c>
      <c r="Q652" s="1">
        <v>555.94129908913499</v>
      </c>
      <c r="R652" s="1">
        <v>3041.1884431009198</v>
      </c>
      <c r="S652" s="5">
        <f t="shared" si="32"/>
        <v>3040.1884431009198</v>
      </c>
      <c r="T652" s="1">
        <v>700</v>
      </c>
      <c r="U652" s="1">
        <v>132</v>
      </c>
      <c r="V652" s="1">
        <v>21</v>
      </c>
      <c r="W652" s="1">
        <v>1131</v>
      </c>
      <c r="X652" s="1">
        <v>0.92967243050459203</v>
      </c>
    </row>
    <row r="653" spans="1:24" x14ac:dyDescent="0.3">
      <c r="A653" s="2">
        <v>45308</v>
      </c>
      <c r="B653" s="1" t="s">
        <v>34</v>
      </c>
      <c r="C653" s="1" t="s">
        <v>26</v>
      </c>
      <c r="D653" s="1" t="s">
        <v>27</v>
      </c>
      <c r="E653" s="1" t="s">
        <v>28</v>
      </c>
      <c r="F653" s="1">
        <v>22</v>
      </c>
      <c r="G653" s="1" t="str" cm="1">
        <f t="array" ref="G653">_xlfn.IFS(F653&lt;=25,"YOUTH",F653&lt;=48,"ADULT",TRUE,"SENIOR")</f>
        <v>YOUTH</v>
      </c>
      <c r="H653" s="1" t="s">
        <v>29</v>
      </c>
      <c r="I653" s="1" t="s">
        <v>37</v>
      </c>
      <c r="J653" s="1" t="s">
        <v>23</v>
      </c>
      <c r="K653" s="1" t="s">
        <v>31</v>
      </c>
      <c r="L653" s="1">
        <v>14528</v>
      </c>
      <c r="M653" s="3">
        <f t="shared" si="30"/>
        <v>0.14847191629955947</v>
      </c>
      <c r="N653" s="1">
        <v>2157</v>
      </c>
      <c r="O653" s="4">
        <f t="shared" si="31"/>
        <v>8.9875000000000007</v>
      </c>
      <c r="P653" s="1">
        <v>240</v>
      </c>
      <c r="Q653" s="1">
        <v>2161.0203467555398</v>
      </c>
      <c r="R653" s="1">
        <v>16122.241890392401</v>
      </c>
      <c r="S653" s="5">
        <f t="shared" si="32"/>
        <v>16121.241890392401</v>
      </c>
      <c r="T653" s="1">
        <v>181</v>
      </c>
      <c r="U653" s="1">
        <v>13</v>
      </c>
      <c r="V653" s="1">
        <v>5</v>
      </c>
      <c r="W653" s="1">
        <v>1272</v>
      </c>
      <c r="X653" s="1">
        <v>0.84558455440218305</v>
      </c>
    </row>
    <row r="654" spans="1:24" x14ac:dyDescent="0.3">
      <c r="A654" s="2">
        <v>45336</v>
      </c>
      <c r="B654" s="1" t="s">
        <v>34</v>
      </c>
      <c r="C654" s="1" t="s">
        <v>18</v>
      </c>
      <c r="D654" s="1" t="s">
        <v>19</v>
      </c>
      <c r="E654" s="1" t="s">
        <v>20</v>
      </c>
      <c r="F654" s="1">
        <v>50</v>
      </c>
      <c r="G654" s="1" t="str" cm="1">
        <f t="array" ref="G654">_xlfn.IFS(F654&lt;=25,"YOUTH",F654&lt;=48,"ADULT",TRUE,"SENIOR")</f>
        <v>SENIOR</v>
      </c>
      <c r="H654" s="1" t="s">
        <v>29</v>
      </c>
      <c r="I654" s="1" t="s">
        <v>33</v>
      </c>
      <c r="J654" s="1" t="s">
        <v>23</v>
      </c>
      <c r="K654" s="1" t="s">
        <v>31</v>
      </c>
      <c r="L654" s="1">
        <v>14313</v>
      </c>
      <c r="M654" s="3">
        <f t="shared" si="30"/>
        <v>0.10507929853978901</v>
      </c>
      <c r="N654" s="1">
        <v>1504</v>
      </c>
      <c r="O654" s="4">
        <f t="shared" si="31"/>
        <v>8.4494382022471903</v>
      </c>
      <c r="P654" s="1">
        <v>178</v>
      </c>
      <c r="Q654" s="1">
        <v>1557.1453550389001</v>
      </c>
      <c r="R654" s="1">
        <v>5150.8876650000002</v>
      </c>
      <c r="S654" s="5">
        <f t="shared" si="32"/>
        <v>5149.8876650000002</v>
      </c>
      <c r="T654" s="1">
        <v>366</v>
      </c>
      <c r="U654" s="1">
        <v>56</v>
      </c>
      <c r="V654" s="1">
        <v>20</v>
      </c>
      <c r="W654" s="1">
        <v>446</v>
      </c>
      <c r="X654" s="1">
        <v>0.40774752668957798</v>
      </c>
    </row>
    <row r="655" spans="1:24" x14ac:dyDescent="0.3">
      <c r="A655" s="2">
        <v>45304</v>
      </c>
      <c r="B655" s="1" t="s">
        <v>40</v>
      </c>
      <c r="C655" s="1" t="s">
        <v>26</v>
      </c>
      <c r="D655" s="1" t="s">
        <v>27</v>
      </c>
      <c r="E655" s="1" t="s">
        <v>20</v>
      </c>
      <c r="F655" s="1">
        <v>18</v>
      </c>
      <c r="G655" s="1" t="str" cm="1">
        <f t="array" ref="G655">_xlfn.IFS(F655&lt;=25,"YOUTH",F655&lt;=48,"ADULT",TRUE,"SENIOR")</f>
        <v>YOUTH</v>
      </c>
      <c r="H655" s="1" t="s">
        <v>42</v>
      </c>
      <c r="I655" s="1" t="s">
        <v>33</v>
      </c>
      <c r="J655" s="1" t="s">
        <v>38</v>
      </c>
      <c r="K655" s="1" t="s">
        <v>31</v>
      </c>
      <c r="L655" s="1">
        <v>2559</v>
      </c>
      <c r="M655" s="3">
        <f t="shared" si="30"/>
        <v>0.1477139507620164</v>
      </c>
      <c r="N655" s="1">
        <v>378</v>
      </c>
      <c r="O655" s="4">
        <f t="shared" si="31"/>
        <v>4.5</v>
      </c>
      <c r="P655" s="1">
        <v>84</v>
      </c>
      <c r="Q655" s="1">
        <v>265.26118243168099</v>
      </c>
      <c r="R655" s="1">
        <v>3948.5387460000002</v>
      </c>
      <c r="S655" s="5">
        <f t="shared" si="32"/>
        <v>3947.5387460000002</v>
      </c>
      <c r="T655" s="1">
        <v>22</v>
      </c>
      <c r="U655" s="1">
        <v>4</v>
      </c>
      <c r="V655" s="1">
        <v>1</v>
      </c>
      <c r="W655" s="1">
        <v>240</v>
      </c>
      <c r="X655" s="1">
        <v>0.89835917992403003</v>
      </c>
    </row>
    <row r="656" spans="1:24" x14ac:dyDescent="0.3">
      <c r="A656" s="2">
        <v>45298</v>
      </c>
      <c r="B656" s="1" t="s">
        <v>25</v>
      </c>
      <c r="C656" s="1" t="s">
        <v>18</v>
      </c>
      <c r="D656" s="1" t="s">
        <v>36</v>
      </c>
      <c r="E656" s="1" t="s">
        <v>20</v>
      </c>
      <c r="F656" s="1">
        <v>35</v>
      </c>
      <c r="G656" s="1" t="str" cm="1">
        <f t="array" ref="G656">_xlfn.IFS(F656&lt;=25,"YOUTH",F656&lt;=48,"ADULT",TRUE,"SENIOR")</f>
        <v>ADULT</v>
      </c>
      <c r="H656" s="1" t="s">
        <v>21</v>
      </c>
      <c r="I656" s="1" t="s">
        <v>37</v>
      </c>
      <c r="J656" s="1" t="s">
        <v>23</v>
      </c>
      <c r="K656" s="1" t="s">
        <v>31</v>
      </c>
      <c r="L656" s="1">
        <v>16167</v>
      </c>
      <c r="M656" s="3">
        <f t="shared" si="30"/>
        <v>1.3979093214572896E-2</v>
      </c>
      <c r="N656" s="1">
        <v>226</v>
      </c>
      <c r="O656" s="4">
        <f t="shared" si="31"/>
        <v>4.1851851851851851</v>
      </c>
      <c r="P656" s="1">
        <v>54</v>
      </c>
      <c r="Q656" s="1">
        <v>355.31351430302999</v>
      </c>
      <c r="R656" s="1">
        <v>391.97278688650101</v>
      </c>
      <c r="S656" s="5">
        <f t="shared" si="32"/>
        <v>390.97278688650101</v>
      </c>
      <c r="T656" s="1">
        <v>215</v>
      </c>
      <c r="U656" s="1">
        <v>26</v>
      </c>
      <c r="V656" s="1">
        <v>6</v>
      </c>
      <c r="W656" s="1">
        <v>1248</v>
      </c>
      <c r="X656" s="1">
        <v>0.52465601435818798</v>
      </c>
    </row>
    <row r="657" spans="1:24" x14ac:dyDescent="0.3">
      <c r="A657" s="2">
        <v>45318</v>
      </c>
      <c r="B657" s="1" t="s">
        <v>25</v>
      </c>
      <c r="C657" s="1" t="s">
        <v>35</v>
      </c>
      <c r="D657" s="1" t="s">
        <v>27</v>
      </c>
      <c r="E657" s="1" t="s">
        <v>28</v>
      </c>
      <c r="F657" s="1">
        <v>49</v>
      </c>
      <c r="G657" s="1" t="str" cm="1">
        <f t="array" ref="G657">_xlfn.IFS(F657&lt;=25,"YOUTH",F657&lt;=48,"ADULT",TRUE,"SENIOR")</f>
        <v>SENIOR</v>
      </c>
      <c r="H657" s="1" t="s">
        <v>29</v>
      </c>
      <c r="I657" s="1" t="s">
        <v>37</v>
      </c>
      <c r="J657" s="1" t="s">
        <v>23</v>
      </c>
      <c r="K657" s="1" t="s">
        <v>31</v>
      </c>
      <c r="L657" s="1">
        <v>16343</v>
      </c>
      <c r="M657" s="3">
        <f t="shared" si="30"/>
        <v>5.7333414917701768E-2</v>
      </c>
      <c r="N657" s="1">
        <v>937</v>
      </c>
      <c r="O657" s="4">
        <f t="shared" si="31"/>
        <v>4.4407582938388623</v>
      </c>
      <c r="P657" s="1">
        <v>211</v>
      </c>
      <c r="Q657" s="1">
        <v>2156.6278945604399</v>
      </c>
      <c r="R657" s="1">
        <v>13246.0478190597</v>
      </c>
      <c r="S657" s="5">
        <f t="shared" si="32"/>
        <v>13245.0478190597</v>
      </c>
      <c r="T657" s="1">
        <v>293</v>
      </c>
      <c r="U657" s="1">
        <v>30</v>
      </c>
      <c r="V657" s="1">
        <v>28</v>
      </c>
      <c r="W657" s="1">
        <v>856</v>
      </c>
      <c r="X657" s="1">
        <v>0.78826289654133397</v>
      </c>
    </row>
    <row r="658" spans="1:24" x14ac:dyDescent="0.3">
      <c r="A658" s="2">
        <v>45301</v>
      </c>
      <c r="B658" s="1" t="s">
        <v>40</v>
      </c>
      <c r="C658" s="1" t="s">
        <v>35</v>
      </c>
      <c r="D658" s="1" t="s">
        <v>27</v>
      </c>
      <c r="E658" s="1" t="s">
        <v>20</v>
      </c>
      <c r="F658" s="1">
        <v>28</v>
      </c>
      <c r="G658" s="1" t="str" cm="1">
        <f t="array" ref="G658">_xlfn.IFS(F658&lt;=25,"YOUTH",F658&lt;=48,"ADULT",TRUE,"SENIOR")</f>
        <v>ADULT</v>
      </c>
      <c r="H658" s="1" t="s">
        <v>21</v>
      </c>
      <c r="I658" s="1" t="s">
        <v>33</v>
      </c>
      <c r="J658" s="1" t="s">
        <v>23</v>
      </c>
      <c r="K658" s="1" t="s">
        <v>31</v>
      </c>
      <c r="L658" s="1">
        <v>39598</v>
      </c>
      <c r="M658" s="3">
        <f t="shared" si="30"/>
        <v>2.5077024092125866E-2</v>
      </c>
      <c r="N658" s="1">
        <v>993</v>
      </c>
      <c r="O658" s="4">
        <f t="shared" si="31"/>
        <v>5.3967391304347823</v>
      </c>
      <c r="P658" s="1">
        <v>184</v>
      </c>
      <c r="Q658" s="1">
        <v>1540.91214265552</v>
      </c>
      <c r="R658" s="1">
        <v>8593.5040589645796</v>
      </c>
      <c r="S658" s="5">
        <f t="shared" si="32"/>
        <v>8592.5040589645796</v>
      </c>
      <c r="T658" s="1">
        <v>422</v>
      </c>
      <c r="U658" s="1">
        <v>31</v>
      </c>
      <c r="V658" s="1">
        <v>17</v>
      </c>
      <c r="W658" s="1">
        <v>5227</v>
      </c>
      <c r="X658" s="1">
        <v>0.70419020905196805</v>
      </c>
    </row>
    <row r="659" spans="1:24" x14ac:dyDescent="0.3">
      <c r="A659" s="2">
        <v>45325</v>
      </c>
      <c r="B659" s="1" t="s">
        <v>34</v>
      </c>
      <c r="C659" s="1" t="s">
        <v>26</v>
      </c>
      <c r="D659" s="1" t="s">
        <v>19</v>
      </c>
      <c r="E659" s="1" t="s">
        <v>28</v>
      </c>
      <c r="F659" s="1">
        <v>38</v>
      </c>
      <c r="G659" s="1" t="str" cm="1">
        <f t="array" ref="G659">_xlfn.IFS(F659&lt;=25,"YOUTH",F659&lt;=48,"ADULT",TRUE,"SENIOR")</f>
        <v>ADULT</v>
      </c>
      <c r="H659" s="1" t="s">
        <v>29</v>
      </c>
      <c r="I659" s="1" t="s">
        <v>37</v>
      </c>
      <c r="J659" s="1" t="s">
        <v>23</v>
      </c>
      <c r="K659" s="1" t="s">
        <v>24</v>
      </c>
      <c r="L659" s="1">
        <v>8523</v>
      </c>
      <c r="M659" s="3">
        <f t="shared" si="30"/>
        <v>4.6697172357151241E-2</v>
      </c>
      <c r="N659" s="1">
        <v>398</v>
      </c>
      <c r="O659" s="4">
        <f t="shared" si="31"/>
        <v>6.5245901639344259</v>
      </c>
      <c r="P659" s="1">
        <v>61</v>
      </c>
      <c r="Q659" s="1">
        <v>1098.21343725627</v>
      </c>
      <c r="R659" s="1">
        <v>2856.6934614821998</v>
      </c>
      <c r="S659" s="5">
        <f t="shared" si="32"/>
        <v>2855.6934614821998</v>
      </c>
      <c r="T659" s="1">
        <v>166</v>
      </c>
      <c r="U659" s="1">
        <v>29</v>
      </c>
      <c r="V659" s="1">
        <v>9</v>
      </c>
      <c r="W659" s="1">
        <v>1625</v>
      </c>
      <c r="X659" s="1">
        <v>0.69524653598153097</v>
      </c>
    </row>
    <row r="660" spans="1:24" x14ac:dyDescent="0.3">
      <c r="A660" s="2">
        <v>45327</v>
      </c>
      <c r="B660" s="1" t="s">
        <v>40</v>
      </c>
      <c r="C660" s="1" t="s">
        <v>41</v>
      </c>
      <c r="D660" s="1" t="s">
        <v>19</v>
      </c>
      <c r="E660" s="1" t="s">
        <v>28</v>
      </c>
      <c r="F660" s="1">
        <v>43</v>
      </c>
      <c r="G660" s="1" t="str" cm="1">
        <f t="array" ref="G660">_xlfn.IFS(F660&lt;=25,"YOUTH",F660&lt;=48,"ADULT",TRUE,"SENIOR")</f>
        <v>ADULT</v>
      </c>
      <c r="H660" s="1" t="s">
        <v>21</v>
      </c>
      <c r="I660" s="1" t="s">
        <v>33</v>
      </c>
      <c r="J660" s="1" t="s">
        <v>38</v>
      </c>
      <c r="K660" s="1" t="s">
        <v>31</v>
      </c>
      <c r="L660" s="1">
        <v>29439</v>
      </c>
      <c r="M660" s="3">
        <f t="shared" si="30"/>
        <v>0.12741601277217296</v>
      </c>
      <c r="N660" s="1">
        <v>3751</v>
      </c>
      <c r="O660" s="4">
        <f t="shared" si="31"/>
        <v>5.6068759342301941</v>
      </c>
      <c r="P660" s="1">
        <v>669</v>
      </c>
      <c r="Q660" s="1">
        <v>648.338953910344</v>
      </c>
      <c r="R660" s="1">
        <v>42576.130316620802</v>
      </c>
      <c r="S660" s="5">
        <f t="shared" si="32"/>
        <v>42575.130316620802</v>
      </c>
      <c r="T660" s="1">
        <v>573</v>
      </c>
      <c r="U660" s="1">
        <v>62</v>
      </c>
      <c r="V660" s="1">
        <v>21</v>
      </c>
      <c r="W660" s="1">
        <v>1452</v>
      </c>
      <c r="X660" s="1">
        <v>0.79485672786599504</v>
      </c>
    </row>
    <row r="661" spans="1:24" x14ac:dyDescent="0.3">
      <c r="A661" s="2">
        <v>45316</v>
      </c>
      <c r="B661" s="1" t="s">
        <v>17</v>
      </c>
      <c r="C661" s="1" t="s">
        <v>26</v>
      </c>
      <c r="D661" s="1" t="s">
        <v>19</v>
      </c>
      <c r="E661" s="1" t="s">
        <v>28</v>
      </c>
      <c r="F661" s="1">
        <v>42</v>
      </c>
      <c r="G661" s="1" t="str" cm="1">
        <f t="array" ref="G661">_xlfn.IFS(F661&lt;=25,"YOUTH",F661&lt;=48,"ADULT",TRUE,"SENIOR")</f>
        <v>ADULT</v>
      </c>
      <c r="H661" s="1" t="s">
        <v>29</v>
      </c>
      <c r="I661" s="1" t="s">
        <v>43</v>
      </c>
      <c r="J661" s="1" t="s">
        <v>23</v>
      </c>
      <c r="K661" s="1" t="s">
        <v>31</v>
      </c>
      <c r="L661" s="1">
        <v>16524</v>
      </c>
      <c r="M661" s="3">
        <f t="shared" si="30"/>
        <v>1.4524328249818447E-2</v>
      </c>
      <c r="N661" s="1">
        <v>240</v>
      </c>
      <c r="O661" s="4">
        <f t="shared" si="31"/>
        <v>4.2857142857142856</v>
      </c>
      <c r="P661" s="1">
        <v>56</v>
      </c>
      <c r="Q661" s="1">
        <v>1718.0887515596901</v>
      </c>
      <c r="R661" s="1">
        <v>2130.38371666272</v>
      </c>
      <c r="S661" s="5">
        <f t="shared" si="32"/>
        <v>2129.38371666272</v>
      </c>
      <c r="T661" s="1">
        <v>168</v>
      </c>
      <c r="U661" s="1">
        <v>31</v>
      </c>
      <c r="V661" s="1">
        <v>9</v>
      </c>
      <c r="W661" s="1">
        <v>2399</v>
      </c>
      <c r="X661" s="1">
        <v>0.51394980954194103</v>
      </c>
    </row>
    <row r="662" spans="1:24" x14ac:dyDescent="0.3">
      <c r="A662" s="2">
        <v>45297</v>
      </c>
      <c r="B662" s="1" t="s">
        <v>25</v>
      </c>
      <c r="C662" s="1" t="s">
        <v>41</v>
      </c>
      <c r="D662" s="1" t="s">
        <v>36</v>
      </c>
      <c r="E662" s="1" t="s">
        <v>28</v>
      </c>
      <c r="F662" s="1">
        <v>39</v>
      </c>
      <c r="G662" s="1" t="str" cm="1">
        <f t="array" ref="G662">_xlfn.IFS(F662&lt;=25,"YOUTH",F662&lt;=48,"ADULT",TRUE,"SENIOR")</f>
        <v>ADULT</v>
      </c>
      <c r="H662" s="1" t="s">
        <v>29</v>
      </c>
      <c r="I662" s="1" t="s">
        <v>37</v>
      </c>
      <c r="J662" s="1" t="s">
        <v>23</v>
      </c>
      <c r="K662" s="1" t="s">
        <v>24</v>
      </c>
      <c r="L662" s="1">
        <v>14285</v>
      </c>
      <c r="M662" s="3">
        <f t="shared" si="30"/>
        <v>8.2814140707035355E-2</v>
      </c>
      <c r="N662" s="1">
        <v>1183</v>
      </c>
      <c r="O662" s="4">
        <f t="shared" si="31"/>
        <v>13</v>
      </c>
      <c r="P662" s="1">
        <v>91</v>
      </c>
      <c r="Q662" s="1">
        <v>1093.1481882872499</v>
      </c>
      <c r="R662" s="1">
        <v>2883.2059277444801</v>
      </c>
      <c r="S662" s="5">
        <f t="shared" si="32"/>
        <v>2882.2059277444801</v>
      </c>
      <c r="T662" s="1">
        <v>355</v>
      </c>
      <c r="U662" s="1">
        <v>62</v>
      </c>
      <c r="V662" s="1">
        <v>28</v>
      </c>
      <c r="W662" s="1">
        <v>2157</v>
      </c>
      <c r="X662" s="1">
        <v>0.48746382192153398</v>
      </c>
    </row>
    <row r="663" spans="1:24" x14ac:dyDescent="0.3">
      <c r="A663" s="2">
        <v>45315</v>
      </c>
      <c r="B663" s="1" t="s">
        <v>17</v>
      </c>
      <c r="C663" s="1" t="s">
        <v>18</v>
      </c>
      <c r="D663" s="1" t="s">
        <v>36</v>
      </c>
      <c r="E663" s="1" t="s">
        <v>20</v>
      </c>
      <c r="F663" s="1">
        <v>44</v>
      </c>
      <c r="G663" s="1" t="str" cm="1">
        <f t="array" ref="G663">_xlfn.IFS(F663&lt;=25,"YOUTH",F663&lt;=48,"ADULT",TRUE,"SENIOR")</f>
        <v>ADULT</v>
      </c>
      <c r="H663" s="1" t="s">
        <v>29</v>
      </c>
      <c r="I663" s="1" t="s">
        <v>43</v>
      </c>
      <c r="J663" s="1" t="s">
        <v>23</v>
      </c>
      <c r="K663" s="1" t="s">
        <v>39</v>
      </c>
      <c r="L663" s="1">
        <v>11973</v>
      </c>
      <c r="M663" s="3">
        <f t="shared" si="30"/>
        <v>8.9367744090871129E-2</v>
      </c>
      <c r="N663" s="1">
        <v>1070</v>
      </c>
      <c r="O663" s="4">
        <f t="shared" si="31"/>
        <v>6.9934640522875817</v>
      </c>
      <c r="P663" s="1">
        <v>153</v>
      </c>
      <c r="Q663" s="1">
        <v>551.95140611356396</v>
      </c>
      <c r="R663" s="1">
        <v>9378.6504415470808</v>
      </c>
      <c r="S663" s="5">
        <f t="shared" si="32"/>
        <v>9377.6504415470808</v>
      </c>
      <c r="T663" s="1">
        <v>248</v>
      </c>
      <c r="U663" s="1">
        <v>26</v>
      </c>
      <c r="V663" s="1">
        <v>15</v>
      </c>
      <c r="W663" s="1">
        <v>1252</v>
      </c>
      <c r="X663" s="1">
        <v>0.75855193370312302</v>
      </c>
    </row>
    <row r="664" spans="1:24" x14ac:dyDescent="0.3">
      <c r="A664" s="2">
        <v>45309</v>
      </c>
      <c r="B664" s="1" t="s">
        <v>40</v>
      </c>
      <c r="C664" s="1" t="s">
        <v>41</v>
      </c>
      <c r="D664" s="1" t="s">
        <v>19</v>
      </c>
      <c r="E664" s="1" t="s">
        <v>20</v>
      </c>
      <c r="F664" s="1">
        <v>30</v>
      </c>
      <c r="G664" s="1" t="str" cm="1">
        <f t="array" ref="G664">_xlfn.IFS(F664&lt;=25,"YOUTH",F664&lt;=48,"ADULT",TRUE,"SENIOR")</f>
        <v>ADULT</v>
      </c>
      <c r="H664" s="1" t="s">
        <v>42</v>
      </c>
      <c r="I664" s="1" t="s">
        <v>22</v>
      </c>
      <c r="J664" s="1" t="s">
        <v>23</v>
      </c>
      <c r="K664" s="1" t="s">
        <v>31</v>
      </c>
      <c r="L664" s="1">
        <v>23694</v>
      </c>
      <c r="M664" s="3">
        <f t="shared" si="30"/>
        <v>8.8545623364564868E-2</v>
      </c>
      <c r="N664" s="1">
        <v>2098</v>
      </c>
      <c r="O664" s="4">
        <f t="shared" si="31"/>
        <v>5.6096256684491976</v>
      </c>
      <c r="P664" s="1">
        <v>374</v>
      </c>
      <c r="Q664" s="1">
        <v>805.19275015912604</v>
      </c>
      <c r="R664" s="1">
        <v>19918.242643593599</v>
      </c>
      <c r="S664" s="5">
        <f t="shared" si="32"/>
        <v>19917.242643593599</v>
      </c>
      <c r="T664" s="1">
        <v>306</v>
      </c>
      <c r="U664" s="1">
        <v>41</v>
      </c>
      <c r="V664" s="1">
        <v>13</v>
      </c>
      <c r="W664" s="1">
        <v>4278</v>
      </c>
      <c r="X664" s="1">
        <v>0.55981857589756401</v>
      </c>
    </row>
    <row r="665" spans="1:24" x14ac:dyDescent="0.3">
      <c r="A665" s="2">
        <v>45314</v>
      </c>
      <c r="B665" s="1" t="s">
        <v>40</v>
      </c>
      <c r="C665" s="1" t="s">
        <v>41</v>
      </c>
      <c r="D665" s="1" t="s">
        <v>36</v>
      </c>
      <c r="E665" s="1" t="s">
        <v>20</v>
      </c>
      <c r="F665" s="1">
        <v>50</v>
      </c>
      <c r="G665" s="1" t="str" cm="1">
        <f t="array" ref="G665">_xlfn.IFS(F665&lt;=25,"YOUTH",F665&lt;=48,"ADULT",TRUE,"SENIOR")</f>
        <v>SENIOR</v>
      </c>
      <c r="H665" s="1" t="s">
        <v>21</v>
      </c>
      <c r="I665" s="1" t="s">
        <v>43</v>
      </c>
      <c r="J665" s="1" t="s">
        <v>23</v>
      </c>
      <c r="K665" s="1" t="s">
        <v>39</v>
      </c>
      <c r="L665" s="1">
        <v>36774</v>
      </c>
      <c r="M665" s="3">
        <f t="shared" si="30"/>
        <v>7.6521455376080932E-2</v>
      </c>
      <c r="N665" s="1">
        <v>2814</v>
      </c>
      <c r="O665" s="4">
        <f t="shared" si="31"/>
        <v>5.6848484848484846</v>
      </c>
      <c r="P665" s="1">
        <v>495</v>
      </c>
      <c r="Q665" s="1">
        <v>2839.5632686632898</v>
      </c>
      <c r="R665" s="1">
        <v>33008.292020245601</v>
      </c>
      <c r="S665" s="5">
        <f t="shared" si="32"/>
        <v>33007.292020245601</v>
      </c>
      <c r="T665" s="1">
        <v>397</v>
      </c>
      <c r="U665" s="1">
        <v>21</v>
      </c>
      <c r="V665" s="1">
        <v>15</v>
      </c>
      <c r="W665" s="1">
        <v>7119</v>
      </c>
      <c r="X665" s="1">
        <v>0.93567261421176795</v>
      </c>
    </row>
    <row r="666" spans="1:24" x14ac:dyDescent="0.3">
      <c r="A666" s="2">
        <v>45297</v>
      </c>
      <c r="B666" s="1" t="s">
        <v>34</v>
      </c>
      <c r="C666" s="1" t="s">
        <v>18</v>
      </c>
      <c r="D666" s="1" t="s">
        <v>36</v>
      </c>
      <c r="E666" s="1" t="s">
        <v>20</v>
      </c>
      <c r="F666" s="1">
        <v>51</v>
      </c>
      <c r="G666" s="1" t="str" cm="1">
        <f t="array" ref="G666">_xlfn.IFS(F666&lt;=25,"YOUTH",F666&lt;=48,"ADULT",TRUE,"SENIOR")</f>
        <v>SENIOR</v>
      </c>
      <c r="H666" s="1" t="s">
        <v>29</v>
      </c>
      <c r="I666" s="1" t="s">
        <v>43</v>
      </c>
      <c r="J666" s="1" t="s">
        <v>23</v>
      </c>
      <c r="K666" s="1" t="s">
        <v>31</v>
      </c>
      <c r="L666" s="1">
        <v>5302</v>
      </c>
      <c r="M666" s="3">
        <f t="shared" si="30"/>
        <v>0.12052055827989439</v>
      </c>
      <c r="N666" s="1">
        <v>639</v>
      </c>
      <c r="O666" s="4">
        <f t="shared" si="31"/>
        <v>13.040816326530612</v>
      </c>
      <c r="P666" s="1">
        <v>49</v>
      </c>
      <c r="Q666" s="1">
        <v>191.029759375845</v>
      </c>
      <c r="R666" s="1">
        <v>3239.2882301940399</v>
      </c>
      <c r="S666" s="5">
        <f t="shared" si="32"/>
        <v>3238.2882301940399</v>
      </c>
      <c r="T666" s="1">
        <v>142</v>
      </c>
      <c r="U666" s="1">
        <v>12</v>
      </c>
      <c r="V666" s="1">
        <v>11</v>
      </c>
      <c r="W666" s="1">
        <v>417</v>
      </c>
      <c r="X666" s="1">
        <v>0.64833151149107004</v>
      </c>
    </row>
    <row r="667" spans="1:24" x14ac:dyDescent="0.3">
      <c r="A667" s="2">
        <v>45320</v>
      </c>
      <c r="B667" s="1" t="s">
        <v>34</v>
      </c>
      <c r="C667" s="1" t="s">
        <v>35</v>
      </c>
      <c r="D667" s="1" t="s">
        <v>27</v>
      </c>
      <c r="E667" s="1" t="s">
        <v>28</v>
      </c>
      <c r="F667" s="1">
        <v>58</v>
      </c>
      <c r="G667" s="1" t="str" cm="1">
        <f t="array" ref="G667">_xlfn.IFS(F667&lt;=25,"YOUTH",F667&lt;=48,"ADULT",TRUE,"SENIOR")</f>
        <v>SENIOR</v>
      </c>
      <c r="H667" s="1" t="s">
        <v>29</v>
      </c>
      <c r="I667" s="1" t="s">
        <v>33</v>
      </c>
      <c r="J667" s="1" t="s">
        <v>23</v>
      </c>
      <c r="K667" s="1" t="s">
        <v>39</v>
      </c>
      <c r="L667" s="1">
        <v>23391</v>
      </c>
      <c r="M667" s="3">
        <f t="shared" si="30"/>
        <v>2.8686246847077938E-2</v>
      </c>
      <c r="N667" s="1">
        <v>671</v>
      </c>
      <c r="O667" s="4">
        <f t="shared" si="31"/>
        <v>6.5145631067961167</v>
      </c>
      <c r="P667" s="1">
        <v>103</v>
      </c>
      <c r="Q667" s="1">
        <v>1947.02145022848</v>
      </c>
      <c r="R667" s="1">
        <v>3074.6736717307999</v>
      </c>
      <c r="S667" s="5">
        <f t="shared" si="32"/>
        <v>3073.6736717307999</v>
      </c>
      <c r="T667" s="1">
        <v>605</v>
      </c>
      <c r="U667" s="1">
        <v>94</v>
      </c>
      <c r="V667" s="1">
        <v>17</v>
      </c>
      <c r="W667" s="1">
        <v>3127</v>
      </c>
      <c r="X667" s="1">
        <v>0.46137836100383001</v>
      </c>
    </row>
    <row r="668" spans="1:24" x14ac:dyDescent="0.3">
      <c r="A668" s="2">
        <v>45316</v>
      </c>
      <c r="B668" s="1" t="s">
        <v>34</v>
      </c>
      <c r="C668" s="1" t="s">
        <v>18</v>
      </c>
      <c r="D668" s="1" t="s">
        <v>27</v>
      </c>
      <c r="E668" s="1" t="s">
        <v>28</v>
      </c>
      <c r="F668" s="1">
        <v>52</v>
      </c>
      <c r="G668" s="1" t="str" cm="1">
        <f t="array" ref="G668">_xlfn.IFS(F668&lt;=25,"YOUTH",F668&lt;=48,"ADULT",TRUE,"SENIOR")</f>
        <v>SENIOR</v>
      </c>
      <c r="H668" s="1" t="s">
        <v>21</v>
      </c>
      <c r="I668" s="1" t="s">
        <v>43</v>
      </c>
      <c r="J668" s="1" t="s">
        <v>38</v>
      </c>
      <c r="K668" s="1" t="s">
        <v>39</v>
      </c>
      <c r="L668" s="1">
        <v>5611</v>
      </c>
      <c r="M668" s="3">
        <f t="shared" si="30"/>
        <v>5.3466405275351986E-2</v>
      </c>
      <c r="N668" s="1">
        <v>300</v>
      </c>
      <c r="O668" s="4">
        <f t="shared" si="31"/>
        <v>5</v>
      </c>
      <c r="P668" s="1">
        <v>60</v>
      </c>
      <c r="Q668" s="1">
        <v>568.27207909314996</v>
      </c>
      <c r="R668" s="1">
        <v>2043.2465315515201</v>
      </c>
      <c r="S668" s="5">
        <f t="shared" si="32"/>
        <v>2042.2465315515201</v>
      </c>
      <c r="T668" s="1">
        <v>60</v>
      </c>
      <c r="U668" s="1">
        <v>9</v>
      </c>
      <c r="V668" s="1">
        <v>2</v>
      </c>
      <c r="W668" s="1">
        <v>762</v>
      </c>
      <c r="X668" s="1">
        <v>0.77719834139462396</v>
      </c>
    </row>
    <row r="669" spans="1:24" x14ac:dyDescent="0.3">
      <c r="A669" s="2">
        <v>45346</v>
      </c>
      <c r="B669" s="1" t="s">
        <v>17</v>
      </c>
      <c r="C669" s="1" t="s">
        <v>26</v>
      </c>
      <c r="D669" s="1" t="s">
        <v>19</v>
      </c>
      <c r="E669" s="1" t="s">
        <v>28</v>
      </c>
      <c r="F669" s="1">
        <v>18</v>
      </c>
      <c r="G669" s="1" t="str" cm="1">
        <f t="array" ref="G669">_xlfn.IFS(F669&lt;=25,"YOUTH",F669&lt;=48,"ADULT",TRUE,"SENIOR")</f>
        <v>YOUTH</v>
      </c>
      <c r="H669" s="1" t="s">
        <v>29</v>
      </c>
      <c r="I669" s="1" t="s">
        <v>37</v>
      </c>
      <c r="J669" s="1" t="s">
        <v>23</v>
      </c>
      <c r="K669" s="1" t="s">
        <v>39</v>
      </c>
      <c r="L669" s="1">
        <v>10372</v>
      </c>
      <c r="M669" s="3">
        <f t="shared" si="30"/>
        <v>9.6124180485923638E-2</v>
      </c>
      <c r="N669" s="1">
        <v>997</v>
      </c>
      <c r="O669" s="4">
        <f t="shared" si="31"/>
        <v>7.7890625</v>
      </c>
      <c r="P669" s="1">
        <v>128</v>
      </c>
      <c r="Q669" s="1">
        <v>1323.05175129241</v>
      </c>
      <c r="R669" s="1">
        <v>2769.7948155392701</v>
      </c>
      <c r="S669" s="5">
        <f t="shared" si="32"/>
        <v>2768.7948155392701</v>
      </c>
      <c r="T669" s="1">
        <v>61</v>
      </c>
      <c r="U669" s="1">
        <v>6</v>
      </c>
      <c r="V669" s="1">
        <v>1</v>
      </c>
      <c r="W669" s="1">
        <v>899</v>
      </c>
      <c r="X669" s="1">
        <v>0.56838761085637202</v>
      </c>
    </row>
    <row r="670" spans="1:24" x14ac:dyDescent="0.3">
      <c r="A670" s="2">
        <v>45308</v>
      </c>
      <c r="B670" s="1" t="s">
        <v>34</v>
      </c>
      <c r="C670" s="1" t="s">
        <v>26</v>
      </c>
      <c r="D670" s="1" t="s">
        <v>36</v>
      </c>
      <c r="E670" s="1" t="s">
        <v>28</v>
      </c>
      <c r="F670" s="1">
        <v>38</v>
      </c>
      <c r="G670" s="1" t="str" cm="1">
        <f t="array" ref="G670">_xlfn.IFS(F670&lt;=25,"YOUTH",F670&lt;=48,"ADULT",TRUE,"SENIOR")</f>
        <v>ADULT</v>
      </c>
      <c r="H670" s="1" t="s">
        <v>29</v>
      </c>
      <c r="I670" s="1" t="s">
        <v>33</v>
      </c>
      <c r="J670" s="1" t="s">
        <v>23</v>
      </c>
      <c r="K670" s="1" t="s">
        <v>31</v>
      </c>
      <c r="L670" s="1">
        <v>25312</v>
      </c>
      <c r="M670" s="3">
        <f t="shared" si="30"/>
        <v>0.1067082806573957</v>
      </c>
      <c r="N670" s="1">
        <v>2701</v>
      </c>
      <c r="O670" s="4">
        <f t="shared" si="31"/>
        <v>4.9468864468864471</v>
      </c>
      <c r="P670" s="1">
        <v>546</v>
      </c>
      <c r="Q670" s="1">
        <v>2739.3766920164499</v>
      </c>
      <c r="R670" s="1">
        <v>26176.393585527701</v>
      </c>
      <c r="S670" s="5">
        <f t="shared" si="32"/>
        <v>26175.393585527701</v>
      </c>
      <c r="T670" s="1">
        <v>635</v>
      </c>
      <c r="U670" s="1">
        <v>108</v>
      </c>
      <c r="V670" s="1">
        <v>25</v>
      </c>
      <c r="W670" s="1">
        <v>1776</v>
      </c>
      <c r="X670" s="1">
        <v>0.48172308519177098</v>
      </c>
    </row>
    <row r="671" spans="1:24" x14ac:dyDescent="0.3">
      <c r="A671" s="2">
        <v>45337</v>
      </c>
      <c r="B671" s="1" t="s">
        <v>40</v>
      </c>
      <c r="C671" s="1" t="s">
        <v>26</v>
      </c>
      <c r="D671" s="1" t="s">
        <v>27</v>
      </c>
      <c r="E671" s="1" t="s">
        <v>20</v>
      </c>
      <c r="F671" s="1">
        <v>23</v>
      </c>
      <c r="G671" s="1" t="str" cm="1">
        <f t="array" ref="G671">_xlfn.IFS(F671&lt;=25,"YOUTH",F671&lt;=48,"ADULT",TRUE,"SENIOR")</f>
        <v>YOUTH</v>
      </c>
      <c r="H671" s="1" t="s">
        <v>42</v>
      </c>
      <c r="I671" s="1" t="s">
        <v>22</v>
      </c>
      <c r="J671" s="1" t="s">
        <v>23</v>
      </c>
      <c r="K671" s="1" t="s">
        <v>24</v>
      </c>
      <c r="L671" s="1">
        <v>15080</v>
      </c>
      <c r="M671" s="3">
        <f t="shared" si="30"/>
        <v>6.6578249336870024E-2</v>
      </c>
      <c r="N671" s="1">
        <v>1004</v>
      </c>
      <c r="O671" s="4">
        <f t="shared" si="31"/>
        <v>9.7475728155339798</v>
      </c>
      <c r="P671" s="1">
        <v>103</v>
      </c>
      <c r="Q671" s="1">
        <v>429.41762265073697</v>
      </c>
      <c r="R671" s="1">
        <v>2955.6084897450901</v>
      </c>
      <c r="S671" s="5">
        <f t="shared" si="32"/>
        <v>2954.6084897450901</v>
      </c>
      <c r="T671" s="1">
        <v>307</v>
      </c>
      <c r="U671" s="1">
        <v>26</v>
      </c>
      <c r="V671" s="1">
        <v>9</v>
      </c>
      <c r="W671" s="1">
        <v>2826</v>
      </c>
      <c r="X671" s="1">
        <v>0.63255284958945601</v>
      </c>
    </row>
    <row r="672" spans="1:24" x14ac:dyDescent="0.3">
      <c r="A672" s="2">
        <v>45315</v>
      </c>
      <c r="B672" s="1" t="s">
        <v>34</v>
      </c>
      <c r="C672" s="1" t="s">
        <v>26</v>
      </c>
      <c r="D672" s="1" t="s">
        <v>32</v>
      </c>
      <c r="E672" s="1" t="s">
        <v>28</v>
      </c>
      <c r="F672" s="1">
        <v>45</v>
      </c>
      <c r="G672" s="1" t="str" cm="1">
        <f t="array" ref="G672">_xlfn.IFS(F672&lt;=25,"YOUTH",F672&lt;=48,"ADULT",TRUE,"SENIOR")</f>
        <v>ADULT</v>
      </c>
      <c r="H672" s="1" t="s">
        <v>29</v>
      </c>
      <c r="I672" s="1" t="s">
        <v>37</v>
      </c>
      <c r="J672" s="1" t="s">
        <v>38</v>
      </c>
      <c r="K672" s="1" t="s">
        <v>31</v>
      </c>
      <c r="L672" s="1">
        <v>16082</v>
      </c>
      <c r="M672" s="3">
        <f t="shared" si="30"/>
        <v>0.13250839447829871</v>
      </c>
      <c r="N672" s="1">
        <v>2131</v>
      </c>
      <c r="O672" s="4">
        <f t="shared" si="31"/>
        <v>4.2450199203187253</v>
      </c>
      <c r="P672" s="1">
        <v>502</v>
      </c>
      <c r="Q672" s="1">
        <v>964.37689849646097</v>
      </c>
      <c r="R672" s="1">
        <v>28160.464098808301</v>
      </c>
      <c r="S672" s="5">
        <f t="shared" si="32"/>
        <v>28159.464098808301</v>
      </c>
      <c r="T672" s="1">
        <v>120</v>
      </c>
      <c r="U672" s="1">
        <v>14</v>
      </c>
      <c r="V672" s="1">
        <v>10</v>
      </c>
      <c r="W672" s="1">
        <v>2574</v>
      </c>
      <c r="X672" s="1">
        <v>0.93032225300000004</v>
      </c>
    </row>
    <row r="673" spans="1:24" x14ac:dyDescent="0.3">
      <c r="A673" s="2">
        <v>45302</v>
      </c>
      <c r="B673" s="1" t="s">
        <v>25</v>
      </c>
      <c r="C673" s="1" t="s">
        <v>26</v>
      </c>
      <c r="D673" s="1" t="s">
        <v>36</v>
      </c>
      <c r="E673" s="1" t="s">
        <v>20</v>
      </c>
      <c r="F673" s="1">
        <v>34</v>
      </c>
      <c r="G673" s="1" t="str" cm="1">
        <f t="array" ref="G673">_xlfn.IFS(F673&lt;=25,"YOUTH",F673&lt;=48,"ADULT",TRUE,"SENIOR")</f>
        <v>ADULT</v>
      </c>
      <c r="H673" s="1" t="s">
        <v>21</v>
      </c>
      <c r="I673" s="1" t="s">
        <v>22</v>
      </c>
      <c r="J673" s="1" t="s">
        <v>38</v>
      </c>
      <c r="K673" s="1" t="s">
        <v>31</v>
      </c>
      <c r="L673" s="1">
        <v>48409</v>
      </c>
      <c r="M673" s="3">
        <f t="shared" si="30"/>
        <v>6.814848478588692E-2</v>
      </c>
      <c r="N673" s="1">
        <v>3299</v>
      </c>
      <c r="O673" s="4">
        <f t="shared" si="31"/>
        <v>7.004246284501062</v>
      </c>
      <c r="P673" s="1">
        <v>471</v>
      </c>
      <c r="Q673" s="1">
        <v>2780.47833608257</v>
      </c>
      <c r="R673" s="1">
        <v>6076.2765397768198</v>
      </c>
      <c r="S673" s="5">
        <f t="shared" si="32"/>
        <v>6075.2765397768198</v>
      </c>
      <c r="T673" s="1">
        <v>952</v>
      </c>
      <c r="U673" s="1">
        <v>115</v>
      </c>
      <c r="V673" s="1">
        <v>74</v>
      </c>
      <c r="W673" s="1">
        <v>1536</v>
      </c>
      <c r="X673" s="1">
        <v>0.62628681701292099</v>
      </c>
    </row>
    <row r="674" spans="1:24" x14ac:dyDescent="0.3">
      <c r="A674" s="2">
        <v>45317</v>
      </c>
      <c r="B674" s="1" t="s">
        <v>34</v>
      </c>
      <c r="C674" s="1" t="s">
        <v>35</v>
      </c>
      <c r="D674" s="1" t="s">
        <v>32</v>
      </c>
      <c r="E674" s="1" t="s">
        <v>28</v>
      </c>
      <c r="F674" s="1">
        <v>22</v>
      </c>
      <c r="G674" s="1" t="str" cm="1">
        <f t="array" ref="G674">_xlfn.IFS(F674&lt;=25,"YOUTH",F674&lt;=48,"ADULT",TRUE,"SENIOR")</f>
        <v>YOUTH</v>
      </c>
      <c r="H674" s="1" t="s">
        <v>42</v>
      </c>
      <c r="I674" s="1" t="s">
        <v>43</v>
      </c>
      <c r="J674" s="1" t="s">
        <v>23</v>
      </c>
      <c r="K674" s="1" t="s">
        <v>31</v>
      </c>
      <c r="L674" s="1">
        <v>43861</v>
      </c>
      <c r="M674" s="3">
        <f t="shared" si="30"/>
        <v>6.6368755842320062E-2</v>
      </c>
      <c r="N674" s="1">
        <v>2911</v>
      </c>
      <c r="O674" s="4">
        <f t="shared" si="31"/>
        <v>6.3698030634573302</v>
      </c>
      <c r="P674" s="1">
        <v>457</v>
      </c>
      <c r="Q674" s="1">
        <v>6094.6708259999996</v>
      </c>
      <c r="R674" s="1">
        <v>5742.7466938784801</v>
      </c>
      <c r="S674" s="5">
        <f t="shared" si="32"/>
        <v>5741.7466938784801</v>
      </c>
      <c r="T674" s="1">
        <v>715</v>
      </c>
      <c r="U674" s="1">
        <v>72</v>
      </c>
      <c r="V674" s="1">
        <v>46</v>
      </c>
      <c r="W674" s="1">
        <v>1437</v>
      </c>
      <c r="X674" s="1">
        <v>0.59103357115208399</v>
      </c>
    </row>
    <row r="675" spans="1:24" x14ac:dyDescent="0.3">
      <c r="A675" s="2">
        <v>45342</v>
      </c>
      <c r="B675" s="1" t="s">
        <v>17</v>
      </c>
      <c r="C675" s="1" t="s">
        <v>35</v>
      </c>
      <c r="D675" s="1" t="s">
        <v>19</v>
      </c>
      <c r="E675" s="1" t="s">
        <v>28</v>
      </c>
      <c r="F675" s="1">
        <v>48</v>
      </c>
      <c r="G675" s="1" t="str" cm="1">
        <f t="array" ref="G675">_xlfn.IFS(F675&lt;=25,"YOUTH",F675&lt;=48,"ADULT",TRUE,"SENIOR")</f>
        <v>ADULT</v>
      </c>
      <c r="H675" s="1" t="s">
        <v>29</v>
      </c>
      <c r="I675" s="1" t="s">
        <v>37</v>
      </c>
      <c r="J675" s="1" t="s">
        <v>30</v>
      </c>
      <c r="K675" s="1" t="s">
        <v>31</v>
      </c>
      <c r="L675" s="1">
        <v>31677</v>
      </c>
      <c r="M675" s="3">
        <f t="shared" si="30"/>
        <v>1.5058244151908325E-2</v>
      </c>
      <c r="N675" s="1">
        <v>477</v>
      </c>
      <c r="O675" s="4">
        <f t="shared" si="31"/>
        <v>39.75</v>
      </c>
      <c r="P675" s="1">
        <v>12</v>
      </c>
      <c r="Q675" s="1">
        <v>4207.07513662984</v>
      </c>
      <c r="R675" s="1">
        <v>219.475197507129</v>
      </c>
      <c r="S675" s="5">
        <f t="shared" si="32"/>
        <v>218.475197507129</v>
      </c>
      <c r="T675" s="1">
        <v>771</v>
      </c>
      <c r="U675" s="1">
        <v>148</v>
      </c>
      <c r="V675" s="1">
        <v>29</v>
      </c>
      <c r="W675" s="1">
        <v>5869</v>
      </c>
      <c r="X675" s="1">
        <v>0.64447992913811702</v>
      </c>
    </row>
    <row r="676" spans="1:24" x14ac:dyDescent="0.3">
      <c r="A676" s="2">
        <v>45325</v>
      </c>
      <c r="B676" s="1" t="s">
        <v>25</v>
      </c>
      <c r="C676" s="1" t="s">
        <v>41</v>
      </c>
      <c r="D676" s="1" t="s">
        <v>36</v>
      </c>
      <c r="E676" s="1" t="s">
        <v>28</v>
      </c>
      <c r="F676" s="1">
        <v>22</v>
      </c>
      <c r="G676" s="1" t="str" cm="1">
        <f t="array" ref="G676">_xlfn.IFS(F676&lt;=25,"YOUTH",F676&lt;=48,"ADULT",TRUE,"SENIOR")</f>
        <v>YOUTH</v>
      </c>
      <c r="H676" s="1" t="s">
        <v>29</v>
      </c>
      <c r="I676" s="1" t="s">
        <v>37</v>
      </c>
      <c r="J676" s="1" t="s">
        <v>23</v>
      </c>
      <c r="K676" s="1" t="s">
        <v>31</v>
      </c>
      <c r="L676" s="1">
        <v>21874</v>
      </c>
      <c r="M676" s="3">
        <f t="shared" si="30"/>
        <v>8.7135411904544213E-2</v>
      </c>
      <c r="N676" s="1">
        <v>1906</v>
      </c>
      <c r="O676" s="4">
        <f t="shared" si="31"/>
        <v>17.017857142857142</v>
      </c>
      <c r="P676" s="1">
        <v>112</v>
      </c>
      <c r="Q676" s="1">
        <v>1490.0400235796101</v>
      </c>
      <c r="R676" s="1">
        <v>1173.6471320000001</v>
      </c>
      <c r="S676" s="5">
        <f t="shared" si="32"/>
        <v>1172.6471320000001</v>
      </c>
      <c r="T676" s="1">
        <v>223</v>
      </c>
      <c r="U676" s="1">
        <v>34</v>
      </c>
      <c r="V676" s="1">
        <v>13</v>
      </c>
      <c r="W676" s="1">
        <v>557</v>
      </c>
      <c r="X676" s="1">
        <v>0.40666363807980599</v>
      </c>
    </row>
    <row r="677" spans="1:24" x14ac:dyDescent="0.3">
      <c r="A677" s="2">
        <v>45319</v>
      </c>
      <c r="B677" s="1" t="s">
        <v>25</v>
      </c>
      <c r="C677" s="1" t="s">
        <v>26</v>
      </c>
      <c r="D677" s="1" t="s">
        <v>19</v>
      </c>
      <c r="E677" s="1" t="s">
        <v>28</v>
      </c>
      <c r="F677" s="1">
        <v>55</v>
      </c>
      <c r="G677" s="1" t="str" cm="1">
        <f t="array" ref="G677">_xlfn.IFS(F677&lt;=25,"YOUTH",F677&lt;=48,"ADULT",TRUE,"SENIOR")</f>
        <v>SENIOR</v>
      </c>
      <c r="H677" s="1" t="s">
        <v>29</v>
      </c>
      <c r="I677" s="1" t="s">
        <v>22</v>
      </c>
      <c r="J677" s="1" t="s">
        <v>23</v>
      </c>
      <c r="K677" s="1" t="s">
        <v>24</v>
      </c>
      <c r="L677" s="1">
        <v>9378</v>
      </c>
      <c r="M677" s="3">
        <f t="shared" si="30"/>
        <v>0.109191725314566</v>
      </c>
      <c r="N677" s="1">
        <v>1024</v>
      </c>
      <c r="O677" s="4">
        <f t="shared" si="31"/>
        <v>6.059171597633136</v>
      </c>
      <c r="P677" s="1">
        <v>169</v>
      </c>
      <c r="Q677" s="1">
        <v>274.30821865668901</v>
      </c>
      <c r="R677" s="1">
        <v>7656.0472103454003</v>
      </c>
      <c r="S677" s="5">
        <f t="shared" si="32"/>
        <v>7655.0472103454003</v>
      </c>
      <c r="T677" s="1">
        <v>153</v>
      </c>
      <c r="U677" s="1">
        <v>20</v>
      </c>
      <c r="V677" s="1">
        <v>9</v>
      </c>
      <c r="W677" s="1">
        <v>1320</v>
      </c>
      <c r="X677" s="1">
        <v>0.473205846229237</v>
      </c>
    </row>
    <row r="678" spans="1:24" x14ac:dyDescent="0.3">
      <c r="A678" s="2">
        <v>45294</v>
      </c>
      <c r="B678" s="1" t="s">
        <v>25</v>
      </c>
      <c r="C678" s="1" t="s">
        <v>18</v>
      </c>
      <c r="D678" s="1" t="s">
        <v>19</v>
      </c>
      <c r="E678" s="1" t="s">
        <v>20</v>
      </c>
      <c r="F678" s="1">
        <v>20</v>
      </c>
      <c r="G678" s="1" t="str" cm="1">
        <f t="array" ref="G678">_xlfn.IFS(F678&lt;=25,"YOUTH",F678&lt;=48,"ADULT",TRUE,"SENIOR")</f>
        <v>YOUTH</v>
      </c>
      <c r="H678" s="1" t="s">
        <v>21</v>
      </c>
      <c r="I678" s="1" t="s">
        <v>37</v>
      </c>
      <c r="J678" s="1" t="s">
        <v>23</v>
      </c>
      <c r="K678" s="1" t="s">
        <v>24</v>
      </c>
      <c r="L678" s="1">
        <v>2597</v>
      </c>
      <c r="M678" s="3">
        <f t="shared" si="30"/>
        <v>2.5798998844820946E-2</v>
      </c>
      <c r="N678" s="1">
        <v>67</v>
      </c>
      <c r="O678" s="4">
        <f t="shared" si="31"/>
        <v>9.5714285714285712</v>
      </c>
      <c r="P678" s="1">
        <v>7</v>
      </c>
      <c r="Q678" s="1">
        <v>353.79957156405601</v>
      </c>
      <c r="R678" s="1">
        <v>102.045508537616</v>
      </c>
      <c r="S678" s="5">
        <f t="shared" si="32"/>
        <v>101.045508537616</v>
      </c>
      <c r="T678" s="1">
        <v>23</v>
      </c>
      <c r="U678" s="1">
        <v>2</v>
      </c>
      <c r="V678" s="1">
        <v>1</v>
      </c>
      <c r="W678" s="1">
        <v>137</v>
      </c>
      <c r="X678" s="1">
        <v>0.86732103997403398</v>
      </c>
    </row>
    <row r="679" spans="1:24" x14ac:dyDescent="0.3">
      <c r="A679" s="2">
        <v>45302</v>
      </c>
      <c r="B679" s="1" t="s">
        <v>17</v>
      </c>
      <c r="C679" s="1" t="s">
        <v>26</v>
      </c>
      <c r="D679" s="1" t="s">
        <v>19</v>
      </c>
      <c r="E679" s="1" t="s">
        <v>20</v>
      </c>
      <c r="F679" s="1">
        <v>40</v>
      </c>
      <c r="G679" s="1" t="str" cm="1">
        <f t="array" ref="G679">_xlfn.IFS(F679&lt;=25,"YOUTH",F679&lt;=48,"ADULT",TRUE,"SENIOR")</f>
        <v>ADULT</v>
      </c>
      <c r="H679" s="1" t="s">
        <v>21</v>
      </c>
      <c r="I679" s="1" t="s">
        <v>37</v>
      </c>
      <c r="J679" s="1" t="s">
        <v>23</v>
      </c>
      <c r="K679" s="1" t="s">
        <v>31</v>
      </c>
      <c r="L679" s="1">
        <v>12600</v>
      </c>
      <c r="M679" s="3">
        <f t="shared" si="30"/>
        <v>5.2698412698412696E-2</v>
      </c>
      <c r="N679" s="1">
        <v>664</v>
      </c>
      <c r="O679" s="4">
        <f t="shared" si="31"/>
        <v>7.3777777777777782</v>
      </c>
      <c r="P679" s="1">
        <v>90</v>
      </c>
      <c r="Q679" s="1">
        <v>1706.8551429553299</v>
      </c>
      <c r="R679" s="1">
        <v>1385.7830671857701</v>
      </c>
      <c r="S679" s="5">
        <f t="shared" si="32"/>
        <v>1384.7830671857701</v>
      </c>
      <c r="T679" s="1">
        <v>364</v>
      </c>
      <c r="U679" s="1">
        <v>26</v>
      </c>
      <c r="V679" s="1">
        <v>9</v>
      </c>
      <c r="W679" s="1">
        <v>210</v>
      </c>
      <c r="X679" s="1">
        <v>0.93791892665198195</v>
      </c>
    </row>
    <row r="680" spans="1:24" x14ac:dyDescent="0.3">
      <c r="A680" s="2">
        <v>45329</v>
      </c>
      <c r="B680" s="1" t="s">
        <v>40</v>
      </c>
      <c r="C680" s="1" t="s">
        <v>35</v>
      </c>
      <c r="D680" s="1" t="s">
        <v>19</v>
      </c>
      <c r="E680" s="1" t="s">
        <v>20</v>
      </c>
      <c r="F680" s="1">
        <v>54</v>
      </c>
      <c r="G680" s="1" t="str" cm="1">
        <f t="array" ref="G680">_xlfn.IFS(F680&lt;=25,"YOUTH",F680&lt;=48,"ADULT",TRUE,"SENIOR")</f>
        <v>SENIOR</v>
      </c>
      <c r="H680" s="1" t="s">
        <v>21</v>
      </c>
      <c r="I680" s="1" t="s">
        <v>37</v>
      </c>
      <c r="J680" s="1" t="s">
        <v>38</v>
      </c>
      <c r="K680" s="1" t="s">
        <v>31</v>
      </c>
      <c r="L680" s="1">
        <v>4747</v>
      </c>
      <c r="M680" s="3">
        <f t="shared" si="30"/>
        <v>0.11923319991573625</v>
      </c>
      <c r="N680" s="1">
        <v>566</v>
      </c>
      <c r="O680" s="4">
        <f t="shared" si="31"/>
        <v>29.789473684210527</v>
      </c>
      <c r="P680" s="1">
        <v>19</v>
      </c>
      <c r="Q680" s="1">
        <v>622.41238553747996</v>
      </c>
      <c r="R680" s="1">
        <v>112.57185629999999</v>
      </c>
      <c r="S680" s="5">
        <f t="shared" si="32"/>
        <v>111.57185629999999</v>
      </c>
      <c r="T680" s="1">
        <v>116</v>
      </c>
      <c r="U680" s="1">
        <v>12</v>
      </c>
      <c r="V680" s="1">
        <v>11</v>
      </c>
      <c r="W680" s="1">
        <v>101</v>
      </c>
      <c r="X680" s="1">
        <v>0.48686781708202398</v>
      </c>
    </row>
    <row r="681" spans="1:24" x14ac:dyDescent="0.3">
      <c r="A681" s="2">
        <v>45305</v>
      </c>
      <c r="B681" s="1" t="s">
        <v>34</v>
      </c>
      <c r="C681" s="1" t="s">
        <v>26</v>
      </c>
      <c r="D681" s="1" t="s">
        <v>19</v>
      </c>
      <c r="E681" s="1" t="s">
        <v>20</v>
      </c>
      <c r="F681" s="1">
        <v>54</v>
      </c>
      <c r="G681" s="1" t="str" cm="1">
        <f t="array" ref="G681">_xlfn.IFS(F681&lt;=25,"YOUTH",F681&lt;=48,"ADULT",TRUE,"SENIOR")</f>
        <v>SENIOR</v>
      </c>
      <c r="H681" s="1" t="s">
        <v>29</v>
      </c>
      <c r="I681" s="1" t="s">
        <v>43</v>
      </c>
      <c r="J681" s="1" t="s">
        <v>23</v>
      </c>
      <c r="K681" s="1" t="s">
        <v>31</v>
      </c>
      <c r="L681" s="1">
        <v>14879</v>
      </c>
      <c r="M681" s="3">
        <f t="shared" si="30"/>
        <v>6.1227233012971304E-2</v>
      </c>
      <c r="N681" s="1">
        <v>911</v>
      </c>
      <c r="O681" s="4">
        <f t="shared" si="31"/>
        <v>4.744791666666667</v>
      </c>
      <c r="P681" s="1">
        <v>192</v>
      </c>
      <c r="Q681" s="1">
        <v>1932.19605942264</v>
      </c>
      <c r="R681" s="1">
        <v>10720.4833825026</v>
      </c>
      <c r="S681" s="5">
        <f t="shared" si="32"/>
        <v>10719.4833825026</v>
      </c>
      <c r="T681" s="1">
        <v>348</v>
      </c>
      <c r="U681" s="1">
        <v>52</v>
      </c>
      <c r="V681" s="1">
        <v>19</v>
      </c>
      <c r="W681" s="1">
        <v>1204</v>
      </c>
      <c r="X681" s="1">
        <v>0.694534800112799</v>
      </c>
    </row>
    <row r="682" spans="1:24" x14ac:dyDescent="0.3">
      <c r="A682" s="2">
        <v>45342</v>
      </c>
      <c r="B682" s="1" t="s">
        <v>25</v>
      </c>
      <c r="C682" s="1" t="s">
        <v>35</v>
      </c>
      <c r="D682" s="1" t="s">
        <v>36</v>
      </c>
      <c r="E682" s="1" t="s">
        <v>28</v>
      </c>
      <c r="F682" s="1">
        <v>27</v>
      </c>
      <c r="G682" s="1" t="str" cm="1">
        <f t="array" ref="G682">_xlfn.IFS(F682&lt;=25,"YOUTH",F682&lt;=48,"ADULT",TRUE,"SENIOR")</f>
        <v>ADULT</v>
      </c>
      <c r="H682" s="1" t="s">
        <v>21</v>
      </c>
      <c r="I682" s="1" t="s">
        <v>22</v>
      </c>
      <c r="J682" s="1" t="s">
        <v>23</v>
      </c>
      <c r="K682" s="1" t="s">
        <v>31</v>
      </c>
      <c r="L682" s="1">
        <v>14017</v>
      </c>
      <c r="M682" s="3">
        <f t="shared" si="30"/>
        <v>4.3803952343582794E-2</v>
      </c>
      <c r="N682" s="1">
        <v>614</v>
      </c>
      <c r="O682" s="4">
        <f t="shared" si="31"/>
        <v>4.9918699186991873</v>
      </c>
      <c r="P682" s="1">
        <v>123</v>
      </c>
      <c r="Q682" s="1">
        <v>1155.4636433191999</v>
      </c>
      <c r="R682" s="1">
        <v>7109.3069631107301</v>
      </c>
      <c r="S682" s="5">
        <f t="shared" si="32"/>
        <v>7108.3069631107301</v>
      </c>
      <c r="T682" s="1">
        <v>311</v>
      </c>
      <c r="U682" s="1">
        <v>58</v>
      </c>
      <c r="V682" s="1">
        <v>29</v>
      </c>
      <c r="W682" s="1">
        <v>346</v>
      </c>
      <c r="X682" s="1">
        <v>0.93148338900000005</v>
      </c>
    </row>
    <row r="683" spans="1:24" x14ac:dyDescent="0.3">
      <c r="A683" s="2">
        <v>45317</v>
      </c>
      <c r="B683" s="1" t="s">
        <v>25</v>
      </c>
      <c r="C683" s="1" t="s">
        <v>41</v>
      </c>
      <c r="D683" s="1" t="s">
        <v>32</v>
      </c>
      <c r="E683" s="1" t="s">
        <v>28</v>
      </c>
      <c r="F683" s="1">
        <v>27</v>
      </c>
      <c r="G683" s="1" t="str" cm="1">
        <f t="array" ref="G683">_xlfn.IFS(F683&lt;=25,"YOUTH",F683&lt;=48,"ADULT",TRUE,"SENIOR")</f>
        <v>ADULT</v>
      </c>
      <c r="H683" s="1" t="s">
        <v>42</v>
      </c>
      <c r="I683" s="1" t="s">
        <v>37</v>
      </c>
      <c r="J683" s="1" t="s">
        <v>38</v>
      </c>
      <c r="K683" s="1" t="s">
        <v>31</v>
      </c>
      <c r="L683" s="1">
        <v>25815</v>
      </c>
      <c r="M683" s="3">
        <f t="shared" si="30"/>
        <v>0.10408677125702111</v>
      </c>
      <c r="N683" s="1">
        <v>2687</v>
      </c>
      <c r="O683" s="4">
        <f t="shared" si="31"/>
        <v>15.994047619047619</v>
      </c>
      <c r="P683" s="1">
        <v>168</v>
      </c>
      <c r="Q683" s="1">
        <v>1111.75175336703</v>
      </c>
      <c r="R683" s="1">
        <v>2609.2847866996799</v>
      </c>
      <c r="S683" s="5">
        <f t="shared" si="32"/>
        <v>2608.2847866996799</v>
      </c>
      <c r="T683" s="1">
        <v>402</v>
      </c>
      <c r="U683" s="1">
        <v>69</v>
      </c>
      <c r="V683" s="1">
        <v>8</v>
      </c>
      <c r="W683" s="1">
        <v>3184</v>
      </c>
      <c r="X683" s="1">
        <v>0.48611975689843001</v>
      </c>
    </row>
    <row r="684" spans="1:24" x14ac:dyDescent="0.3">
      <c r="A684" s="2">
        <v>45339</v>
      </c>
      <c r="B684" s="1" t="s">
        <v>25</v>
      </c>
      <c r="C684" s="1" t="s">
        <v>41</v>
      </c>
      <c r="D684" s="1" t="s">
        <v>36</v>
      </c>
      <c r="E684" s="1" t="s">
        <v>20</v>
      </c>
      <c r="F684" s="1">
        <v>36</v>
      </c>
      <c r="G684" s="1" t="str" cm="1">
        <f t="array" ref="G684">_xlfn.IFS(F684&lt;=25,"YOUTH",F684&lt;=48,"ADULT",TRUE,"SENIOR")</f>
        <v>ADULT</v>
      </c>
      <c r="H684" s="1" t="s">
        <v>21</v>
      </c>
      <c r="I684" s="1" t="s">
        <v>33</v>
      </c>
      <c r="J684" s="1" t="s">
        <v>23</v>
      </c>
      <c r="K684" s="1" t="s">
        <v>24</v>
      </c>
      <c r="L684" s="1">
        <v>19964</v>
      </c>
      <c r="M684" s="3">
        <f t="shared" si="30"/>
        <v>3.7517531556802243E-2</v>
      </c>
      <c r="N684" s="1">
        <v>749</v>
      </c>
      <c r="O684" s="4">
        <f t="shared" si="31"/>
        <v>6.040322580645161</v>
      </c>
      <c r="P684" s="1">
        <v>124</v>
      </c>
      <c r="Q684" s="1">
        <v>1638.5142871261401</v>
      </c>
      <c r="R684" s="1">
        <v>6580.5669401938203</v>
      </c>
      <c r="S684" s="5">
        <f t="shared" si="32"/>
        <v>6579.5669401938203</v>
      </c>
      <c r="T684" s="1">
        <v>560</v>
      </c>
      <c r="U684" s="1">
        <v>53</v>
      </c>
      <c r="V684" s="1">
        <v>22</v>
      </c>
      <c r="W684" s="1">
        <v>2654</v>
      </c>
      <c r="X684" s="1">
        <v>0.50247028962634699</v>
      </c>
    </row>
    <row r="685" spans="1:24" x14ac:dyDescent="0.3">
      <c r="A685" s="2">
        <v>45312</v>
      </c>
      <c r="B685" s="1" t="s">
        <v>40</v>
      </c>
      <c r="C685" s="1" t="s">
        <v>41</v>
      </c>
      <c r="D685" s="1" t="s">
        <v>36</v>
      </c>
      <c r="E685" s="1" t="s">
        <v>20</v>
      </c>
      <c r="F685" s="1">
        <v>34</v>
      </c>
      <c r="G685" s="1" t="str" cm="1">
        <f t="array" ref="G685">_xlfn.IFS(F685&lt;=25,"YOUTH",F685&lt;=48,"ADULT",TRUE,"SENIOR")</f>
        <v>ADULT</v>
      </c>
      <c r="H685" s="1" t="s">
        <v>42</v>
      </c>
      <c r="I685" s="1" t="s">
        <v>33</v>
      </c>
      <c r="J685" s="1" t="s">
        <v>23</v>
      </c>
      <c r="K685" s="1" t="s">
        <v>31</v>
      </c>
      <c r="L685" s="1">
        <v>29812</v>
      </c>
      <c r="M685" s="3">
        <f t="shared" si="30"/>
        <v>0.13538172547967262</v>
      </c>
      <c r="N685" s="1">
        <v>4036</v>
      </c>
      <c r="O685" s="4">
        <f t="shared" si="31"/>
        <v>4.8047619047619046</v>
      </c>
      <c r="P685" s="1">
        <v>840</v>
      </c>
      <c r="Q685" s="1">
        <v>2513.0833360957499</v>
      </c>
      <c r="R685" s="1">
        <v>27871.563724391799</v>
      </c>
      <c r="S685" s="5">
        <f t="shared" si="32"/>
        <v>27870.563724391799</v>
      </c>
      <c r="T685" s="1">
        <v>203</v>
      </c>
      <c r="U685" s="1">
        <v>23</v>
      </c>
      <c r="V685" s="1">
        <v>5</v>
      </c>
      <c r="W685" s="1">
        <v>2413</v>
      </c>
      <c r="X685" s="1">
        <v>0.90974899466061898</v>
      </c>
    </row>
    <row r="686" spans="1:24" x14ac:dyDescent="0.3">
      <c r="A686" s="2">
        <v>45345</v>
      </c>
      <c r="B686" s="1" t="s">
        <v>40</v>
      </c>
      <c r="C686" s="1" t="s">
        <v>35</v>
      </c>
      <c r="D686" s="1" t="s">
        <v>36</v>
      </c>
      <c r="E686" s="1" t="s">
        <v>28</v>
      </c>
      <c r="F686" s="1">
        <v>38</v>
      </c>
      <c r="G686" s="1" t="str" cm="1">
        <f t="array" ref="G686">_xlfn.IFS(F686&lt;=25,"YOUTH",F686&lt;=48,"ADULT",TRUE,"SENIOR")</f>
        <v>ADULT</v>
      </c>
      <c r="H686" s="1" t="s">
        <v>21</v>
      </c>
      <c r="I686" s="1" t="s">
        <v>33</v>
      </c>
      <c r="J686" s="1" t="s">
        <v>23</v>
      </c>
      <c r="K686" s="1" t="s">
        <v>31</v>
      </c>
      <c r="L686" s="1">
        <v>41200</v>
      </c>
      <c r="M686" s="3">
        <f t="shared" si="30"/>
        <v>2.4781553398058251E-2</v>
      </c>
      <c r="N686" s="1">
        <v>1021</v>
      </c>
      <c r="O686" s="4">
        <f t="shared" si="31"/>
        <v>6.0058823529411764</v>
      </c>
      <c r="P686" s="1">
        <v>170</v>
      </c>
      <c r="Q686" s="1">
        <v>3448.0744703794699</v>
      </c>
      <c r="R686" s="1">
        <v>3497.5234567675702</v>
      </c>
      <c r="S686" s="5">
        <f t="shared" si="32"/>
        <v>3496.5234567675702</v>
      </c>
      <c r="T686" s="1">
        <v>1033</v>
      </c>
      <c r="U686" s="1">
        <v>64</v>
      </c>
      <c r="V686" s="1">
        <v>84</v>
      </c>
      <c r="W686" s="1">
        <v>6227</v>
      </c>
      <c r="X686" s="1">
        <v>0.78812820554881002</v>
      </c>
    </row>
    <row r="687" spans="1:24" x14ac:dyDescent="0.3">
      <c r="A687" s="2">
        <v>45347</v>
      </c>
      <c r="B687" s="1" t="s">
        <v>17</v>
      </c>
      <c r="C687" s="1" t="s">
        <v>26</v>
      </c>
      <c r="D687" s="1" t="s">
        <v>27</v>
      </c>
      <c r="E687" s="1" t="s">
        <v>28</v>
      </c>
      <c r="F687" s="1">
        <v>31</v>
      </c>
      <c r="G687" s="1" t="str" cm="1">
        <f t="array" ref="G687">_xlfn.IFS(F687&lt;=25,"YOUTH",F687&lt;=48,"ADULT",TRUE,"SENIOR")</f>
        <v>ADULT</v>
      </c>
      <c r="H687" s="1" t="s">
        <v>21</v>
      </c>
      <c r="I687" s="1" t="s">
        <v>33</v>
      </c>
      <c r="J687" s="1" t="s">
        <v>23</v>
      </c>
      <c r="K687" s="1" t="s">
        <v>31</v>
      </c>
      <c r="L687" s="1">
        <v>25714</v>
      </c>
      <c r="M687" s="3">
        <f t="shared" si="30"/>
        <v>0.10889009877887532</v>
      </c>
      <c r="N687" s="1">
        <v>2800</v>
      </c>
      <c r="O687" s="4">
        <f t="shared" si="31"/>
        <v>10.980392156862745</v>
      </c>
      <c r="P687" s="1">
        <v>255</v>
      </c>
      <c r="Q687" s="1">
        <v>2315.2997763173298</v>
      </c>
      <c r="R687" s="1">
        <v>11574.4498788237</v>
      </c>
      <c r="S687" s="5">
        <f t="shared" si="32"/>
        <v>11573.4498788237</v>
      </c>
      <c r="T687" s="1">
        <v>266</v>
      </c>
      <c r="U687" s="1">
        <v>17</v>
      </c>
      <c r="V687" s="1">
        <v>12</v>
      </c>
      <c r="W687" s="1">
        <v>2651</v>
      </c>
      <c r="X687" s="1">
        <v>0.483581677763188</v>
      </c>
    </row>
    <row r="688" spans="1:24" x14ac:dyDescent="0.3">
      <c r="A688" s="2">
        <v>45330</v>
      </c>
      <c r="B688" s="1" t="s">
        <v>40</v>
      </c>
      <c r="C688" s="1" t="s">
        <v>26</v>
      </c>
      <c r="D688" s="1" t="s">
        <v>27</v>
      </c>
      <c r="E688" s="1" t="s">
        <v>20</v>
      </c>
      <c r="F688" s="1">
        <v>26</v>
      </c>
      <c r="G688" s="1" t="str" cm="1">
        <f t="array" ref="G688">_xlfn.IFS(F688&lt;=25,"YOUTH",F688&lt;=48,"ADULT",TRUE,"SENIOR")</f>
        <v>ADULT</v>
      </c>
      <c r="H688" s="1" t="s">
        <v>21</v>
      </c>
      <c r="I688" s="1" t="s">
        <v>43</v>
      </c>
      <c r="J688" s="1" t="s">
        <v>23</v>
      </c>
      <c r="K688" s="1" t="s">
        <v>24</v>
      </c>
      <c r="L688" s="1">
        <v>19890</v>
      </c>
      <c r="M688" s="3">
        <f t="shared" si="30"/>
        <v>7.988939165409753E-2</v>
      </c>
      <c r="N688" s="1">
        <v>1589</v>
      </c>
      <c r="O688" s="4">
        <f t="shared" si="31"/>
        <v>5.8634686346863472</v>
      </c>
      <c r="P688" s="1">
        <v>271</v>
      </c>
      <c r="Q688" s="1">
        <v>1064.0237643482201</v>
      </c>
      <c r="R688" s="1">
        <v>4498.9969696238904</v>
      </c>
      <c r="S688" s="5">
        <f t="shared" si="32"/>
        <v>4497.9969696238904</v>
      </c>
      <c r="T688" s="1">
        <v>260</v>
      </c>
      <c r="U688" s="1">
        <v>31</v>
      </c>
      <c r="V688" s="1">
        <v>22</v>
      </c>
      <c r="W688" s="1">
        <v>1824</v>
      </c>
      <c r="X688" s="1">
        <v>0.61642096911523503</v>
      </c>
    </row>
    <row r="689" spans="1:24" x14ac:dyDescent="0.3">
      <c r="A689" s="2">
        <v>45321</v>
      </c>
      <c r="B689" s="1" t="s">
        <v>34</v>
      </c>
      <c r="C689" s="1" t="s">
        <v>18</v>
      </c>
      <c r="D689" s="1" t="s">
        <v>36</v>
      </c>
      <c r="E689" s="1" t="s">
        <v>20</v>
      </c>
      <c r="F689" s="1">
        <v>18</v>
      </c>
      <c r="G689" s="1" t="str" cm="1">
        <f t="array" ref="G689">_xlfn.IFS(F689&lt;=25,"YOUTH",F689&lt;=48,"ADULT",TRUE,"SENIOR")</f>
        <v>YOUTH</v>
      </c>
      <c r="H689" s="1" t="s">
        <v>29</v>
      </c>
      <c r="I689" s="1" t="s">
        <v>37</v>
      </c>
      <c r="J689" s="1" t="s">
        <v>23</v>
      </c>
      <c r="K689" s="1" t="s">
        <v>39</v>
      </c>
      <c r="L689" s="1">
        <v>5725</v>
      </c>
      <c r="M689" s="3">
        <f t="shared" si="30"/>
        <v>0.13170305676855895</v>
      </c>
      <c r="N689" s="1">
        <v>754</v>
      </c>
      <c r="O689" s="4">
        <f t="shared" si="31"/>
        <v>14.784313725490197</v>
      </c>
      <c r="P689" s="1">
        <v>51</v>
      </c>
      <c r="Q689" s="1">
        <v>387.07499910000001</v>
      </c>
      <c r="R689" s="1">
        <v>2764.0691593698102</v>
      </c>
      <c r="S689" s="5">
        <f t="shared" si="32"/>
        <v>2763.0691593698102</v>
      </c>
      <c r="T689" s="1">
        <v>102</v>
      </c>
      <c r="U689" s="1">
        <v>13</v>
      </c>
      <c r="V689" s="1">
        <v>8</v>
      </c>
      <c r="W689" s="1">
        <v>499</v>
      </c>
      <c r="X689" s="1">
        <v>0.43094846931809</v>
      </c>
    </row>
    <row r="690" spans="1:24" x14ac:dyDescent="0.3">
      <c r="A690" s="2">
        <v>45350</v>
      </c>
      <c r="B690" s="1" t="s">
        <v>17</v>
      </c>
      <c r="C690" s="1" t="s">
        <v>35</v>
      </c>
      <c r="D690" s="1" t="s">
        <v>32</v>
      </c>
      <c r="E690" s="1" t="s">
        <v>20</v>
      </c>
      <c r="F690" s="1">
        <v>30</v>
      </c>
      <c r="G690" s="1" t="str" cm="1">
        <f t="array" ref="G690">_xlfn.IFS(F690&lt;=25,"YOUTH",F690&lt;=48,"ADULT",TRUE,"SENIOR")</f>
        <v>ADULT</v>
      </c>
      <c r="H690" s="1" t="s">
        <v>29</v>
      </c>
      <c r="I690" s="1" t="s">
        <v>22</v>
      </c>
      <c r="J690" s="1" t="s">
        <v>23</v>
      </c>
      <c r="K690" s="1" t="s">
        <v>24</v>
      </c>
      <c r="L690" s="1">
        <v>44205</v>
      </c>
      <c r="M690" s="3">
        <f t="shared" si="30"/>
        <v>2.7666553557289898E-2</v>
      </c>
      <c r="N690" s="1">
        <v>1223</v>
      </c>
      <c r="O690" s="4">
        <f t="shared" si="31"/>
        <v>10.823008849557523</v>
      </c>
      <c r="P690" s="1">
        <v>113</v>
      </c>
      <c r="Q690" s="1">
        <v>3379.2183787068702</v>
      </c>
      <c r="R690" s="1">
        <v>914.73384650570199</v>
      </c>
      <c r="S690" s="5">
        <f t="shared" si="32"/>
        <v>913.73384650570199</v>
      </c>
      <c r="T690" s="1">
        <v>1085</v>
      </c>
      <c r="U690" s="1">
        <v>97</v>
      </c>
      <c r="V690" s="1">
        <v>79</v>
      </c>
      <c r="W690" s="1">
        <v>4062</v>
      </c>
      <c r="X690" s="1">
        <v>0.63796934365473101</v>
      </c>
    </row>
    <row r="691" spans="1:24" x14ac:dyDescent="0.3">
      <c r="A691" s="2">
        <v>45299</v>
      </c>
      <c r="B691" s="1" t="s">
        <v>17</v>
      </c>
      <c r="C691" s="1" t="s">
        <v>18</v>
      </c>
      <c r="D691" s="1" t="s">
        <v>36</v>
      </c>
      <c r="E691" s="1" t="s">
        <v>28</v>
      </c>
      <c r="F691" s="1">
        <v>21</v>
      </c>
      <c r="G691" s="1" t="str" cm="1">
        <f t="array" ref="G691">_xlfn.IFS(F691&lt;=25,"YOUTH",F691&lt;=48,"ADULT",TRUE,"SENIOR")</f>
        <v>YOUTH</v>
      </c>
      <c r="H691" s="1" t="s">
        <v>21</v>
      </c>
      <c r="I691" s="1" t="s">
        <v>37</v>
      </c>
      <c r="J691" s="1" t="s">
        <v>23</v>
      </c>
      <c r="K691" s="1" t="s">
        <v>39</v>
      </c>
      <c r="L691" s="1">
        <v>21684</v>
      </c>
      <c r="M691" s="3">
        <f t="shared" si="30"/>
        <v>0.10486995019369121</v>
      </c>
      <c r="N691" s="1">
        <v>2274</v>
      </c>
      <c r="O691" s="4">
        <f t="shared" si="31"/>
        <v>13.298245614035087</v>
      </c>
      <c r="P691" s="1">
        <v>171</v>
      </c>
      <c r="Q691" s="1">
        <v>803.30019993025098</v>
      </c>
      <c r="R691" s="1">
        <v>11515.7403194937</v>
      </c>
      <c r="S691" s="5">
        <f t="shared" si="32"/>
        <v>11514.7403194937</v>
      </c>
      <c r="T691" s="1">
        <v>562</v>
      </c>
      <c r="U691" s="1">
        <v>82</v>
      </c>
      <c r="V691" s="1">
        <v>41</v>
      </c>
      <c r="W691" s="1">
        <v>4204</v>
      </c>
      <c r="X691" s="1">
        <v>0.82784582196787004</v>
      </c>
    </row>
    <row r="692" spans="1:24" x14ac:dyDescent="0.3">
      <c r="A692" s="2">
        <v>45342</v>
      </c>
      <c r="B692" s="1" t="s">
        <v>34</v>
      </c>
      <c r="C692" s="1" t="s">
        <v>41</v>
      </c>
      <c r="D692" s="1" t="s">
        <v>19</v>
      </c>
      <c r="E692" s="1" t="s">
        <v>20</v>
      </c>
      <c r="F692" s="1">
        <v>18</v>
      </c>
      <c r="G692" s="1" t="str" cm="1">
        <f t="array" ref="G692">_xlfn.IFS(F692&lt;=25,"YOUTH",F692&lt;=48,"ADULT",TRUE,"SENIOR")</f>
        <v>YOUTH</v>
      </c>
      <c r="H692" s="1" t="s">
        <v>29</v>
      </c>
      <c r="I692" s="1" t="s">
        <v>43</v>
      </c>
      <c r="J692" s="1" t="s">
        <v>38</v>
      </c>
      <c r="K692" s="1" t="s">
        <v>31</v>
      </c>
      <c r="L692" s="1">
        <v>27325</v>
      </c>
      <c r="M692" s="3">
        <f t="shared" si="30"/>
        <v>9.0064043915827993E-2</v>
      </c>
      <c r="N692" s="1">
        <v>2461</v>
      </c>
      <c r="O692" s="4">
        <f t="shared" si="31"/>
        <v>6.7609890109890109</v>
      </c>
      <c r="P692" s="1">
        <v>364</v>
      </c>
      <c r="Q692" s="1">
        <v>2164.067247</v>
      </c>
      <c r="R692" s="1">
        <v>3520.5685027460499</v>
      </c>
      <c r="S692" s="5">
        <f t="shared" si="32"/>
        <v>3519.5685027460499</v>
      </c>
      <c r="T692" s="1">
        <v>535</v>
      </c>
      <c r="U692" s="1">
        <v>83</v>
      </c>
      <c r="V692" s="1">
        <v>40</v>
      </c>
      <c r="W692" s="1">
        <v>3810</v>
      </c>
      <c r="X692" s="1">
        <v>0.70468463002236903</v>
      </c>
    </row>
    <row r="693" spans="1:24" x14ac:dyDescent="0.3">
      <c r="A693" s="2">
        <v>45311</v>
      </c>
      <c r="B693" s="1" t="s">
        <v>34</v>
      </c>
      <c r="C693" s="1" t="s">
        <v>26</v>
      </c>
      <c r="D693" s="1" t="s">
        <v>27</v>
      </c>
      <c r="E693" s="1" t="s">
        <v>20</v>
      </c>
      <c r="F693" s="1">
        <v>57</v>
      </c>
      <c r="G693" s="1" t="str" cm="1">
        <f t="array" ref="G693">_xlfn.IFS(F693&lt;=25,"YOUTH",F693&lt;=48,"ADULT",TRUE,"SENIOR")</f>
        <v>SENIOR</v>
      </c>
      <c r="H693" s="1" t="s">
        <v>21</v>
      </c>
      <c r="I693" s="1" t="s">
        <v>33</v>
      </c>
      <c r="J693" s="1" t="s">
        <v>23</v>
      </c>
      <c r="K693" s="1" t="s">
        <v>31</v>
      </c>
      <c r="L693" s="1">
        <v>33542</v>
      </c>
      <c r="M693" s="3">
        <f t="shared" si="30"/>
        <v>7.718681056585773E-2</v>
      </c>
      <c r="N693" s="1">
        <v>2589</v>
      </c>
      <c r="O693" s="4">
        <f t="shared" si="31"/>
        <v>22.318965517241381</v>
      </c>
      <c r="P693" s="1">
        <v>116</v>
      </c>
      <c r="Q693" s="1">
        <v>4204.8603464472699</v>
      </c>
      <c r="R693" s="1">
        <v>4949.0410811351203</v>
      </c>
      <c r="S693" s="5">
        <f t="shared" si="32"/>
        <v>4948.0410811351203</v>
      </c>
      <c r="T693" s="1">
        <v>505</v>
      </c>
      <c r="U693" s="1">
        <v>47</v>
      </c>
      <c r="V693" s="1">
        <v>37</v>
      </c>
      <c r="W693" s="1">
        <v>2344</v>
      </c>
      <c r="X693" s="1">
        <v>0.75609316699891105</v>
      </c>
    </row>
    <row r="694" spans="1:24" x14ac:dyDescent="0.3">
      <c r="A694" s="2">
        <v>45339</v>
      </c>
      <c r="B694" s="1" t="s">
        <v>34</v>
      </c>
      <c r="C694" s="1" t="s">
        <v>35</v>
      </c>
      <c r="D694" s="1" t="s">
        <v>27</v>
      </c>
      <c r="E694" s="1" t="s">
        <v>20</v>
      </c>
      <c r="F694" s="1">
        <v>49</v>
      </c>
      <c r="G694" s="1" t="str" cm="1">
        <f t="array" ref="G694">_xlfn.IFS(F694&lt;=25,"YOUTH",F694&lt;=48,"ADULT",TRUE,"SENIOR")</f>
        <v>SENIOR</v>
      </c>
      <c r="H694" s="1" t="s">
        <v>42</v>
      </c>
      <c r="I694" s="1" t="s">
        <v>43</v>
      </c>
      <c r="J694" s="1" t="s">
        <v>23</v>
      </c>
      <c r="K694" s="1" t="s">
        <v>39</v>
      </c>
      <c r="L694" s="1">
        <v>47037</v>
      </c>
      <c r="M694" s="3">
        <f t="shared" si="30"/>
        <v>7.8789038416565677E-2</v>
      </c>
      <c r="N694" s="1">
        <v>3706</v>
      </c>
      <c r="O694" s="4">
        <f t="shared" si="31"/>
        <v>4.2646720368239359</v>
      </c>
      <c r="P694" s="1">
        <v>869</v>
      </c>
      <c r="Q694" s="1">
        <v>6004.16677249841</v>
      </c>
      <c r="R694" s="1">
        <v>55305.444477562502</v>
      </c>
      <c r="S694" s="5">
        <f t="shared" si="32"/>
        <v>55304.444477562502</v>
      </c>
      <c r="T694" s="1">
        <v>1348</v>
      </c>
      <c r="U694" s="1">
        <v>220</v>
      </c>
      <c r="V694" s="1">
        <v>68</v>
      </c>
      <c r="W694" s="1">
        <v>7028</v>
      </c>
      <c r="X694" s="1">
        <v>0.57975107271011495</v>
      </c>
    </row>
    <row r="695" spans="1:24" x14ac:dyDescent="0.3">
      <c r="A695" s="2">
        <v>45323</v>
      </c>
      <c r="B695" s="1" t="s">
        <v>17</v>
      </c>
      <c r="C695" s="1" t="s">
        <v>18</v>
      </c>
      <c r="D695" s="1" t="s">
        <v>36</v>
      </c>
      <c r="E695" s="1" t="s">
        <v>20</v>
      </c>
      <c r="F695" s="1">
        <v>51</v>
      </c>
      <c r="G695" s="1" t="str" cm="1">
        <f t="array" ref="G695">_xlfn.IFS(F695&lt;=25,"YOUTH",F695&lt;=48,"ADULT",TRUE,"SENIOR")</f>
        <v>SENIOR</v>
      </c>
      <c r="H695" s="1" t="s">
        <v>21</v>
      </c>
      <c r="I695" s="1" t="s">
        <v>37</v>
      </c>
      <c r="J695" s="1" t="s">
        <v>23</v>
      </c>
      <c r="K695" s="1" t="s">
        <v>31</v>
      </c>
      <c r="L695" s="1">
        <v>14092</v>
      </c>
      <c r="M695" s="3">
        <f t="shared" si="30"/>
        <v>0.11105591825149021</v>
      </c>
      <c r="N695" s="1">
        <v>1565</v>
      </c>
      <c r="O695" s="4">
        <f t="shared" si="31"/>
        <v>10.364238410596027</v>
      </c>
      <c r="P695" s="1">
        <v>151</v>
      </c>
      <c r="Q695" s="1">
        <v>1035.8083675718101</v>
      </c>
      <c r="R695" s="1">
        <v>871.84236174165096</v>
      </c>
      <c r="S695" s="5">
        <f t="shared" si="32"/>
        <v>870.84236174165096</v>
      </c>
      <c r="T695" s="1">
        <v>157</v>
      </c>
      <c r="U695" s="1">
        <v>12</v>
      </c>
      <c r="V695" s="1">
        <v>11</v>
      </c>
      <c r="W695" s="1">
        <v>1025</v>
      </c>
      <c r="X695" s="1">
        <v>0.48876775475963602</v>
      </c>
    </row>
    <row r="696" spans="1:24" x14ac:dyDescent="0.3">
      <c r="A696" s="2">
        <v>45313</v>
      </c>
      <c r="B696" s="1" t="s">
        <v>17</v>
      </c>
      <c r="C696" s="1" t="s">
        <v>18</v>
      </c>
      <c r="D696" s="1" t="s">
        <v>36</v>
      </c>
      <c r="E696" s="1" t="s">
        <v>20</v>
      </c>
      <c r="F696" s="1">
        <v>45</v>
      </c>
      <c r="G696" s="1" t="str" cm="1">
        <f t="array" ref="G696">_xlfn.IFS(F696&lt;=25,"YOUTH",F696&lt;=48,"ADULT",TRUE,"SENIOR")</f>
        <v>ADULT</v>
      </c>
      <c r="H696" s="1" t="s">
        <v>29</v>
      </c>
      <c r="I696" s="1" t="s">
        <v>22</v>
      </c>
      <c r="J696" s="1" t="s">
        <v>23</v>
      </c>
      <c r="K696" s="1" t="s">
        <v>39</v>
      </c>
      <c r="L696" s="1">
        <v>31382</v>
      </c>
      <c r="M696" s="3">
        <f t="shared" si="30"/>
        <v>0.14125932062966032</v>
      </c>
      <c r="N696" s="1">
        <v>4433</v>
      </c>
      <c r="O696" s="4">
        <f t="shared" si="31"/>
        <v>14.254019292604502</v>
      </c>
      <c r="P696" s="1">
        <v>311</v>
      </c>
      <c r="Q696" s="1">
        <v>2744.2015184780498</v>
      </c>
      <c r="R696" s="1">
        <v>11632.4698288937</v>
      </c>
      <c r="S696" s="5">
        <f t="shared" si="32"/>
        <v>11631.4698288937</v>
      </c>
      <c r="T696" s="1">
        <v>786</v>
      </c>
      <c r="U696" s="1">
        <v>103</v>
      </c>
      <c r="V696" s="1">
        <v>72</v>
      </c>
      <c r="W696" s="1">
        <v>1063</v>
      </c>
      <c r="X696" s="1">
        <v>0.40721417167541601</v>
      </c>
    </row>
    <row r="697" spans="1:24" x14ac:dyDescent="0.3">
      <c r="A697" s="2">
        <v>45350</v>
      </c>
      <c r="B697" s="1" t="s">
        <v>17</v>
      </c>
      <c r="C697" s="1" t="s">
        <v>18</v>
      </c>
      <c r="D697" s="1" t="s">
        <v>32</v>
      </c>
      <c r="E697" s="1" t="s">
        <v>28</v>
      </c>
      <c r="F697" s="1">
        <v>48</v>
      </c>
      <c r="G697" s="1" t="str" cm="1">
        <f t="array" ref="G697">_xlfn.IFS(F697&lt;=25,"YOUTH",F697&lt;=48,"ADULT",TRUE,"SENIOR")</f>
        <v>ADULT</v>
      </c>
      <c r="H697" s="1" t="s">
        <v>29</v>
      </c>
      <c r="I697" s="1" t="s">
        <v>43</v>
      </c>
      <c r="J697" s="1" t="s">
        <v>23</v>
      </c>
      <c r="K697" s="1" t="s">
        <v>31</v>
      </c>
      <c r="L697" s="1">
        <v>40770</v>
      </c>
      <c r="M697" s="3">
        <f t="shared" si="30"/>
        <v>2.2761834682364483E-2</v>
      </c>
      <c r="N697" s="1">
        <v>928</v>
      </c>
      <c r="O697" s="4">
        <f t="shared" si="31"/>
        <v>7.4838709677419351</v>
      </c>
      <c r="P697" s="1">
        <v>124</v>
      </c>
      <c r="Q697" s="1">
        <v>993.75012534901305</v>
      </c>
      <c r="R697" s="1">
        <v>3441.0561320000002</v>
      </c>
      <c r="S697" s="5">
        <f t="shared" si="32"/>
        <v>3440.0561320000002</v>
      </c>
      <c r="T697" s="1">
        <v>827</v>
      </c>
      <c r="U697" s="1">
        <v>141</v>
      </c>
      <c r="V697" s="1">
        <v>38</v>
      </c>
      <c r="W697" s="1">
        <v>4089</v>
      </c>
      <c r="X697" s="1">
        <v>0.85172178899999995</v>
      </c>
    </row>
    <row r="698" spans="1:24" x14ac:dyDescent="0.3">
      <c r="A698" s="2">
        <v>45298</v>
      </c>
      <c r="B698" s="1" t="s">
        <v>34</v>
      </c>
      <c r="C698" s="1" t="s">
        <v>26</v>
      </c>
      <c r="D698" s="1" t="s">
        <v>32</v>
      </c>
      <c r="E698" s="1" t="s">
        <v>20</v>
      </c>
      <c r="F698" s="1">
        <v>25</v>
      </c>
      <c r="G698" s="1" t="str" cm="1">
        <f t="array" ref="G698">_xlfn.IFS(F698&lt;=25,"YOUTH",F698&lt;=48,"ADULT",TRUE,"SENIOR")</f>
        <v>YOUTH</v>
      </c>
      <c r="H698" s="1" t="s">
        <v>29</v>
      </c>
      <c r="I698" s="1" t="s">
        <v>22</v>
      </c>
      <c r="J698" s="1" t="s">
        <v>23</v>
      </c>
      <c r="K698" s="1" t="s">
        <v>31</v>
      </c>
      <c r="L698" s="1">
        <v>26457</v>
      </c>
      <c r="M698" s="3">
        <f t="shared" si="30"/>
        <v>1.2699852590996711E-2</v>
      </c>
      <c r="N698" s="1">
        <v>336</v>
      </c>
      <c r="O698" s="4">
        <f t="shared" si="31"/>
        <v>12</v>
      </c>
      <c r="P698" s="1">
        <v>28</v>
      </c>
      <c r="Q698" s="1">
        <v>2848.7900790436502</v>
      </c>
      <c r="R698" s="1">
        <v>1196.2045862693899</v>
      </c>
      <c r="S698" s="5">
        <f t="shared" si="32"/>
        <v>1195.2045862693899</v>
      </c>
      <c r="T698" s="1">
        <v>381</v>
      </c>
      <c r="U698" s="1">
        <v>49</v>
      </c>
      <c r="V698" s="1">
        <v>36</v>
      </c>
      <c r="W698" s="1">
        <v>4039</v>
      </c>
      <c r="X698" s="1">
        <v>0.75016000764018298</v>
      </c>
    </row>
    <row r="699" spans="1:24" x14ac:dyDescent="0.3">
      <c r="A699" s="2">
        <v>45300</v>
      </c>
      <c r="B699" s="1" t="s">
        <v>34</v>
      </c>
      <c r="C699" s="1" t="s">
        <v>26</v>
      </c>
      <c r="D699" s="1" t="s">
        <v>19</v>
      </c>
      <c r="E699" s="1" t="s">
        <v>28</v>
      </c>
      <c r="F699" s="1">
        <v>56</v>
      </c>
      <c r="G699" s="1" t="str" cm="1">
        <f t="array" ref="G699">_xlfn.IFS(F699&lt;=25,"YOUTH",F699&lt;=48,"ADULT",TRUE,"SENIOR")</f>
        <v>SENIOR</v>
      </c>
      <c r="H699" s="1" t="s">
        <v>21</v>
      </c>
      <c r="I699" s="1" t="s">
        <v>43</v>
      </c>
      <c r="J699" s="1" t="s">
        <v>23</v>
      </c>
      <c r="K699" s="1" t="s">
        <v>39</v>
      </c>
      <c r="L699" s="1">
        <v>7131</v>
      </c>
      <c r="M699" s="3">
        <f t="shared" si="30"/>
        <v>0.12270368812228299</v>
      </c>
      <c r="N699" s="1">
        <v>875</v>
      </c>
      <c r="O699" s="4">
        <f t="shared" si="31"/>
        <v>7</v>
      </c>
      <c r="P699" s="1">
        <v>125</v>
      </c>
      <c r="Q699" s="1">
        <v>517.70179166823004</v>
      </c>
      <c r="R699" s="1">
        <v>2456.8412672434702</v>
      </c>
      <c r="S699" s="5">
        <f t="shared" si="32"/>
        <v>2455.8412672434702</v>
      </c>
      <c r="T699" s="1">
        <v>35</v>
      </c>
      <c r="U699" s="1">
        <v>6</v>
      </c>
      <c r="V699" s="1">
        <v>0</v>
      </c>
      <c r="W699" s="1">
        <v>582</v>
      </c>
      <c r="X699" s="1">
        <v>0.52612668270822804</v>
      </c>
    </row>
    <row r="700" spans="1:24" x14ac:dyDescent="0.3">
      <c r="A700" s="2">
        <v>45336</v>
      </c>
      <c r="B700" s="1" t="s">
        <v>25</v>
      </c>
      <c r="C700" s="1" t="s">
        <v>26</v>
      </c>
      <c r="D700" s="1" t="s">
        <v>36</v>
      </c>
      <c r="E700" s="1" t="s">
        <v>20</v>
      </c>
      <c r="F700" s="1">
        <v>43</v>
      </c>
      <c r="G700" s="1" t="str" cm="1">
        <f t="array" ref="G700">_xlfn.IFS(F700&lt;=25,"YOUTH",F700&lt;=48,"ADULT",TRUE,"SENIOR")</f>
        <v>ADULT</v>
      </c>
      <c r="H700" s="1" t="s">
        <v>21</v>
      </c>
      <c r="I700" s="1" t="s">
        <v>22</v>
      </c>
      <c r="J700" s="1" t="s">
        <v>38</v>
      </c>
      <c r="K700" s="1" t="s">
        <v>39</v>
      </c>
      <c r="L700" s="1">
        <v>47029</v>
      </c>
      <c r="M700" s="3">
        <f t="shared" si="30"/>
        <v>2.5133428310191584E-2</v>
      </c>
      <c r="N700" s="1">
        <v>1182</v>
      </c>
      <c r="O700" s="4">
        <f t="shared" si="31"/>
        <v>10.016949152542374</v>
      </c>
      <c r="P700" s="1">
        <v>118</v>
      </c>
      <c r="Q700" s="1">
        <v>3664.12809450446</v>
      </c>
      <c r="R700" s="1">
        <v>1087.77699616732</v>
      </c>
      <c r="S700" s="5">
        <f t="shared" si="32"/>
        <v>1086.77699616732</v>
      </c>
      <c r="T700" s="1">
        <v>760</v>
      </c>
      <c r="U700" s="1">
        <v>44</v>
      </c>
      <c r="V700" s="1">
        <v>36</v>
      </c>
      <c r="W700" s="1">
        <v>8236</v>
      </c>
      <c r="X700" s="1">
        <v>0.630138678042512</v>
      </c>
    </row>
    <row r="701" spans="1:24" x14ac:dyDescent="0.3">
      <c r="A701" s="2">
        <v>45292</v>
      </c>
      <c r="B701" s="1" t="s">
        <v>40</v>
      </c>
      <c r="C701" s="1" t="s">
        <v>35</v>
      </c>
      <c r="D701" s="1" t="s">
        <v>36</v>
      </c>
      <c r="E701" s="1" t="s">
        <v>20</v>
      </c>
      <c r="F701" s="1">
        <v>51</v>
      </c>
      <c r="G701" s="1" t="str" cm="1">
        <f t="array" ref="G701">_xlfn.IFS(F701&lt;=25,"YOUTH",F701&lt;=48,"ADULT",TRUE,"SENIOR")</f>
        <v>SENIOR</v>
      </c>
      <c r="H701" s="1" t="s">
        <v>42</v>
      </c>
      <c r="I701" s="1" t="s">
        <v>22</v>
      </c>
      <c r="J701" s="1" t="s">
        <v>23</v>
      </c>
      <c r="K701" s="1" t="s">
        <v>39</v>
      </c>
      <c r="L701" s="1">
        <v>26215</v>
      </c>
      <c r="M701" s="3">
        <f t="shared" si="30"/>
        <v>0.148121304596605</v>
      </c>
      <c r="N701" s="1">
        <v>3883</v>
      </c>
      <c r="O701" s="4">
        <f t="shared" si="31"/>
        <v>19.912820512820513</v>
      </c>
      <c r="P701" s="1">
        <v>195</v>
      </c>
      <c r="Q701" s="1">
        <v>3501.7329705922698</v>
      </c>
      <c r="R701" s="1">
        <v>8908.7012420573592</v>
      </c>
      <c r="S701" s="5">
        <f t="shared" si="32"/>
        <v>8907.7012420573592</v>
      </c>
      <c r="T701" s="1">
        <v>312</v>
      </c>
      <c r="U701" s="1">
        <v>43</v>
      </c>
      <c r="V701" s="1">
        <v>9</v>
      </c>
      <c r="W701" s="1">
        <v>2189</v>
      </c>
      <c r="X701" s="1">
        <v>0.84079379780046204</v>
      </c>
    </row>
    <row r="702" spans="1:24" x14ac:dyDescent="0.3">
      <c r="A702" s="2">
        <v>45320</v>
      </c>
      <c r="B702" s="1" t="s">
        <v>25</v>
      </c>
      <c r="C702" s="1" t="s">
        <v>26</v>
      </c>
      <c r="D702" s="1" t="s">
        <v>36</v>
      </c>
      <c r="E702" s="1" t="s">
        <v>20</v>
      </c>
      <c r="F702" s="1">
        <v>20</v>
      </c>
      <c r="G702" s="1" t="str" cm="1">
        <f t="array" ref="G702">_xlfn.IFS(F702&lt;=25,"YOUTH",F702&lt;=48,"ADULT",TRUE,"SENIOR")</f>
        <v>YOUTH</v>
      </c>
      <c r="H702" s="1" t="s">
        <v>29</v>
      </c>
      <c r="I702" s="1" t="s">
        <v>33</v>
      </c>
      <c r="J702" s="1" t="s">
        <v>38</v>
      </c>
      <c r="K702" s="1" t="s">
        <v>31</v>
      </c>
      <c r="L702" s="1">
        <v>13612</v>
      </c>
      <c r="M702" s="3">
        <f t="shared" si="30"/>
        <v>9.6679400528945053E-2</v>
      </c>
      <c r="N702" s="1">
        <v>1316</v>
      </c>
      <c r="O702" s="4">
        <f t="shared" si="31"/>
        <v>12.415094339622641</v>
      </c>
      <c r="P702" s="1">
        <v>106</v>
      </c>
      <c r="Q702" s="1">
        <v>1089.4837420210699</v>
      </c>
      <c r="R702" s="1">
        <v>3402.0912601095401</v>
      </c>
      <c r="S702" s="5">
        <f t="shared" si="32"/>
        <v>3401.0912601095401</v>
      </c>
      <c r="T702" s="1">
        <v>103</v>
      </c>
      <c r="U702" s="1">
        <v>13</v>
      </c>
      <c r="V702" s="1">
        <v>3</v>
      </c>
      <c r="W702" s="1">
        <v>1040</v>
      </c>
      <c r="X702" s="1">
        <v>0.69628510235026198</v>
      </c>
    </row>
    <row r="703" spans="1:24" x14ac:dyDescent="0.3">
      <c r="A703" s="2">
        <v>45299</v>
      </c>
      <c r="B703" s="1" t="s">
        <v>34</v>
      </c>
      <c r="C703" s="1" t="s">
        <v>35</v>
      </c>
      <c r="D703" s="1" t="s">
        <v>27</v>
      </c>
      <c r="E703" s="1" t="s">
        <v>28</v>
      </c>
      <c r="F703" s="1">
        <v>29</v>
      </c>
      <c r="G703" s="1" t="str" cm="1">
        <f t="array" ref="G703">_xlfn.IFS(F703&lt;=25,"YOUTH",F703&lt;=48,"ADULT",TRUE,"SENIOR")</f>
        <v>ADULT</v>
      </c>
      <c r="H703" s="1" t="s">
        <v>42</v>
      </c>
      <c r="I703" s="1" t="s">
        <v>22</v>
      </c>
      <c r="J703" s="1" t="s">
        <v>23</v>
      </c>
      <c r="K703" s="1" t="s">
        <v>39</v>
      </c>
      <c r="L703" s="1">
        <v>38305</v>
      </c>
      <c r="M703" s="3">
        <f t="shared" si="30"/>
        <v>0.10110951572901709</v>
      </c>
      <c r="N703" s="1">
        <v>3873</v>
      </c>
      <c r="O703" s="4">
        <f t="shared" si="31"/>
        <v>8.2756410256410255</v>
      </c>
      <c r="P703" s="1">
        <v>468</v>
      </c>
      <c r="Q703" s="1">
        <v>871.62996892852698</v>
      </c>
      <c r="R703" s="1">
        <v>21276.010087443501</v>
      </c>
      <c r="S703" s="5">
        <f t="shared" si="32"/>
        <v>21275.010087443501</v>
      </c>
      <c r="T703" s="1">
        <v>263</v>
      </c>
      <c r="U703" s="1">
        <v>39</v>
      </c>
      <c r="V703" s="1">
        <v>22</v>
      </c>
      <c r="W703" s="1">
        <v>7648</v>
      </c>
      <c r="X703" s="1">
        <v>0.56508793204528796</v>
      </c>
    </row>
    <row r="704" spans="1:24" x14ac:dyDescent="0.3">
      <c r="A704" s="2">
        <v>45347</v>
      </c>
      <c r="B704" s="1" t="s">
        <v>17</v>
      </c>
      <c r="C704" s="1" t="s">
        <v>18</v>
      </c>
      <c r="D704" s="1" t="s">
        <v>19</v>
      </c>
      <c r="E704" s="1" t="s">
        <v>28</v>
      </c>
      <c r="F704" s="1">
        <v>18</v>
      </c>
      <c r="G704" s="1" t="str" cm="1">
        <f t="array" ref="G704">_xlfn.IFS(F704&lt;=25,"YOUTH",F704&lt;=48,"ADULT",TRUE,"SENIOR")</f>
        <v>YOUTH</v>
      </c>
      <c r="H704" s="1" t="s">
        <v>21</v>
      </c>
      <c r="I704" s="1" t="s">
        <v>33</v>
      </c>
      <c r="J704" s="1" t="s">
        <v>38</v>
      </c>
      <c r="K704" s="1" t="s">
        <v>31</v>
      </c>
      <c r="L704" s="1">
        <v>14091</v>
      </c>
      <c r="M704" s="3">
        <f t="shared" si="30"/>
        <v>3.7825562415726349E-2</v>
      </c>
      <c r="N704" s="1">
        <v>533</v>
      </c>
      <c r="O704" s="4">
        <f t="shared" si="31"/>
        <v>38.071428571428569</v>
      </c>
      <c r="P704" s="1">
        <v>14</v>
      </c>
      <c r="Q704" s="1">
        <v>698.54463862067405</v>
      </c>
      <c r="R704" s="1">
        <v>261.59062360000001</v>
      </c>
      <c r="S704" s="5">
        <f t="shared" si="32"/>
        <v>260.59062360000001</v>
      </c>
      <c r="T704" s="1">
        <v>192</v>
      </c>
      <c r="U704" s="1">
        <v>33</v>
      </c>
      <c r="V704" s="1">
        <v>17</v>
      </c>
      <c r="W704" s="1">
        <v>1432</v>
      </c>
      <c r="X704" s="1">
        <v>0.54695148400000004</v>
      </c>
    </row>
    <row r="705" spans="1:24" x14ac:dyDescent="0.3">
      <c r="A705" s="2">
        <v>45345</v>
      </c>
      <c r="B705" s="1" t="s">
        <v>34</v>
      </c>
      <c r="C705" s="1" t="s">
        <v>18</v>
      </c>
      <c r="D705" s="1" t="s">
        <v>32</v>
      </c>
      <c r="E705" s="1" t="s">
        <v>28</v>
      </c>
      <c r="F705" s="1">
        <v>22</v>
      </c>
      <c r="G705" s="1" t="str" cm="1">
        <f t="array" ref="G705">_xlfn.IFS(F705&lt;=25,"YOUTH",F705&lt;=48,"ADULT",TRUE,"SENIOR")</f>
        <v>YOUTH</v>
      </c>
      <c r="H705" s="1" t="s">
        <v>29</v>
      </c>
      <c r="I705" s="1" t="s">
        <v>37</v>
      </c>
      <c r="J705" s="1" t="s">
        <v>23</v>
      </c>
      <c r="K705" s="1" t="s">
        <v>31</v>
      </c>
      <c r="L705" s="1">
        <v>36103</v>
      </c>
      <c r="M705" s="3">
        <f t="shared" si="30"/>
        <v>4.3625183502756001E-2</v>
      </c>
      <c r="N705" s="1">
        <v>1575</v>
      </c>
      <c r="O705" s="4">
        <f t="shared" si="31"/>
        <v>5.080645161290323</v>
      </c>
      <c r="P705" s="1">
        <v>310</v>
      </c>
      <c r="Q705" s="1">
        <v>2954.3330349882299</v>
      </c>
      <c r="R705" s="1">
        <v>8375.6364489999996</v>
      </c>
      <c r="S705" s="5">
        <f t="shared" si="32"/>
        <v>8374.6364489999996</v>
      </c>
      <c r="T705" s="1">
        <v>735</v>
      </c>
      <c r="U705" s="1">
        <v>116</v>
      </c>
      <c r="V705" s="1">
        <v>60</v>
      </c>
      <c r="W705" s="1">
        <v>5884</v>
      </c>
      <c r="X705" s="1">
        <v>0.51968771300000005</v>
      </c>
    </row>
    <row r="706" spans="1:24" x14ac:dyDescent="0.3">
      <c r="A706" s="2">
        <v>45295</v>
      </c>
      <c r="B706" s="1" t="s">
        <v>40</v>
      </c>
      <c r="C706" s="1" t="s">
        <v>41</v>
      </c>
      <c r="D706" s="1" t="s">
        <v>27</v>
      </c>
      <c r="E706" s="1" t="s">
        <v>20</v>
      </c>
      <c r="F706" s="1">
        <v>47</v>
      </c>
      <c r="G706" s="1" t="str" cm="1">
        <f t="array" ref="G706">_xlfn.IFS(F706&lt;=25,"YOUTH",F706&lt;=48,"ADULT",TRUE,"SENIOR")</f>
        <v>ADULT</v>
      </c>
      <c r="H706" s="1" t="s">
        <v>21</v>
      </c>
      <c r="I706" s="1" t="s">
        <v>37</v>
      </c>
      <c r="J706" s="1" t="s">
        <v>38</v>
      </c>
      <c r="K706" s="1" t="s">
        <v>31</v>
      </c>
      <c r="L706" s="1">
        <v>38089</v>
      </c>
      <c r="M706" s="3">
        <f t="shared" si="30"/>
        <v>0.10228674945522329</v>
      </c>
      <c r="N706" s="1">
        <v>3896</v>
      </c>
      <c r="O706" s="4">
        <f t="shared" si="31"/>
        <v>6.1354330708661413</v>
      </c>
      <c r="P706" s="1">
        <v>635</v>
      </c>
      <c r="Q706" s="1">
        <v>2863.20795128486</v>
      </c>
      <c r="R706" s="1">
        <v>26358.399346024202</v>
      </c>
      <c r="S706" s="5">
        <f t="shared" si="32"/>
        <v>26357.399346024202</v>
      </c>
      <c r="T706" s="1">
        <v>987</v>
      </c>
      <c r="U706" s="1">
        <v>166</v>
      </c>
      <c r="V706" s="1">
        <v>96</v>
      </c>
      <c r="W706" s="1">
        <v>6206</v>
      </c>
      <c r="X706" s="1">
        <v>0.85305143407379302</v>
      </c>
    </row>
    <row r="707" spans="1:24" x14ac:dyDescent="0.3">
      <c r="A707" s="2">
        <v>45326</v>
      </c>
      <c r="B707" s="1" t="s">
        <v>25</v>
      </c>
      <c r="C707" s="1" t="s">
        <v>26</v>
      </c>
      <c r="D707" s="1" t="s">
        <v>27</v>
      </c>
      <c r="E707" s="1" t="s">
        <v>20</v>
      </c>
      <c r="F707" s="1">
        <v>47</v>
      </c>
      <c r="G707" s="1" t="str" cm="1">
        <f t="array" ref="G707">_xlfn.IFS(F707&lt;=25,"YOUTH",F707&lt;=48,"ADULT",TRUE,"SENIOR")</f>
        <v>ADULT</v>
      </c>
      <c r="H707" s="1" t="s">
        <v>29</v>
      </c>
      <c r="I707" s="1" t="s">
        <v>33</v>
      </c>
      <c r="J707" s="1" t="s">
        <v>23</v>
      </c>
      <c r="K707" s="1" t="s">
        <v>31</v>
      </c>
      <c r="L707" s="1">
        <v>30759</v>
      </c>
      <c r="M707" s="3">
        <f t="shared" ref="M707:M770" si="33">(N707/L707)</f>
        <v>0.13735817159205435</v>
      </c>
      <c r="N707" s="1">
        <v>4225</v>
      </c>
      <c r="O707" s="4">
        <f t="shared" ref="O707:O770" si="34">(N707/P707)</f>
        <v>6.3248502994011977</v>
      </c>
      <c r="P707" s="1">
        <v>668</v>
      </c>
      <c r="Q707" s="1">
        <v>4055.5162568393298</v>
      </c>
      <c r="R707" s="1">
        <v>29092.9568348596</v>
      </c>
      <c r="S707" s="5">
        <f t="shared" ref="S707:S770" si="35">(R707-Q707/Q707)</f>
        <v>29091.9568348596</v>
      </c>
      <c r="T707" s="1">
        <v>294</v>
      </c>
      <c r="U707" s="1">
        <v>27</v>
      </c>
      <c r="V707" s="1">
        <v>10</v>
      </c>
      <c r="W707" s="1">
        <v>5721</v>
      </c>
      <c r="X707" s="1">
        <v>0.72002319287656402</v>
      </c>
    </row>
    <row r="708" spans="1:24" x14ac:dyDescent="0.3">
      <c r="A708" s="2">
        <v>45350</v>
      </c>
      <c r="B708" s="1" t="s">
        <v>25</v>
      </c>
      <c r="C708" s="1" t="s">
        <v>18</v>
      </c>
      <c r="D708" s="1" t="s">
        <v>27</v>
      </c>
      <c r="E708" s="1" t="s">
        <v>28</v>
      </c>
      <c r="F708" s="1">
        <v>34</v>
      </c>
      <c r="G708" s="1" t="str" cm="1">
        <f t="array" ref="G708">_xlfn.IFS(F708&lt;=25,"YOUTH",F708&lt;=48,"ADULT",TRUE,"SENIOR")</f>
        <v>ADULT</v>
      </c>
      <c r="H708" s="1" t="s">
        <v>29</v>
      </c>
      <c r="I708" s="1" t="s">
        <v>33</v>
      </c>
      <c r="J708" s="1" t="s">
        <v>23</v>
      </c>
      <c r="K708" s="1" t="s">
        <v>31</v>
      </c>
      <c r="L708" s="1">
        <v>47022</v>
      </c>
      <c r="M708" s="3">
        <f t="shared" si="33"/>
        <v>0.14752668963463911</v>
      </c>
      <c r="N708" s="1">
        <v>6937</v>
      </c>
      <c r="O708" s="4">
        <f t="shared" si="34"/>
        <v>6.8751238850346876</v>
      </c>
      <c r="P708" s="1">
        <v>1009</v>
      </c>
      <c r="Q708" s="1">
        <v>4254.4506951372896</v>
      </c>
      <c r="R708" s="1">
        <v>29463.266667875101</v>
      </c>
      <c r="S708" s="5">
        <f t="shared" si="35"/>
        <v>29462.266667875101</v>
      </c>
      <c r="T708" s="1">
        <v>734</v>
      </c>
      <c r="U708" s="1">
        <v>79</v>
      </c>
      <c r="V708" s="1">
        <v>22</v>
      </c>
      <c r="W708" s="1">
        <v>1228</v>
      </c>
      <c r="X708" s="1">
        <v>0.79003644113580496</v>
      </c>
    </row>
    <row r="709" spans="1:24" x14ac:dyDescent="0.3">
      <c r="A709" s="2">
        <v>45294</v>
      </c>
      <c r="B709" s="1" t="s">
        <v>17</v>
      </c>
      <c r="C709" s="1" t="s">
        <v>26</v>
      </c>
      <c r="D709" s="1" t="s">
        <v>27</v>
      </c>
      <c r="E709" s="1" t="s">
        <v>28</v>
      </c>
      <c r="F709" s="1">
        <v>40</v>
      </c>
      <c r="G709" s="1" t="str" cm="1">
        <f t="array" ref="G709">_xlfn.IFS(F709&lt;=25,"YOUTH",F709&lt;=48,"ADULT",TRUE,"SENIOR")</f>
        <v>ADULT</v>
      </c>
      <c r="H709" s="1" t="s">
        <v>21</v>
      </c>
      <c r="I709" s="1" t="s">
        <v>43</v>
      </c>
      <c r="J709" s="1" t="s">
        <v>23</v>
      </c>
      <c r="K709" s="1" t="s">
        <v>31</v>
      </c>
      <c r="L709" s="1">
        <v>1559</v>
      </c>
      <c r="M709" s="3">
        <f t="shared" si="33"/>
        <v>3.7203335471456059E-2</v>
      </c>
      <c r="N709" s="1">
        <v>58</v>
      </c>
      <c r="O709" s="4">
        <f t="shared" si="34"/>
        <v>6.4444444444444446</v>
      </c>
      <c r="P709" s="1">
        <v>9</v>
      </c>
      <c r="Q709" s="1">
        <v>170.94847581393699</v>
      </c>
      <c r="R709" s="1">
        <v>208.831125285685</v>
      </c>
      <c r="S709" s="5">
        <f t="shared" si="35"/>
        <v>207.831125285685</v>
      </c>
      <c r="T709" s="1">
        <v>23</v>
      </c>
      <c r="U709" s="1">
        <v>3</v>
      </c>
      <c r="V709" s="1">
        <v>1</v>
      </c>
      <c r="W709" s="1">
        <v>95</v>
      </c>
      <c r="X709" s="1">
        <v>0.87306624276857703</v>
      </c>
    </row>
    <row r="710" spans="1:24" x14ac:dyDescent="0.3">
      <c r="A710" s="2">
        <v>45345</v>
      </c>
      <c r="B710" s="1" t="s">
        <v>25</v>
      </c>
      <c r="C710" s="1" t="s">
        <v>35</v>
      </c>
      <c r="D710" s="1" t="s">
        <v>19</v>
      </c>
      <c r="E710" s="1" t="s">
        <v>20</v>
      </c>
      <c r="F710" s="1">
        <v>32</v>
      </c>
      <c r="G710" s="1" t="str" cm="1">
        <f t="array" ref="G710">_xlfn.IFS(F710&lt;=25,"YOUTH",F710&lt;=48,"ADULT",TRUE,"SENIOR")</f>
        <v>ADULT</v>
      </c>
      <c r="H710" s="1" t="s">
        <v>29</v>
      </c>
      <c r="I710" s="1" t="s">
        <v>43</v>
      </c>
      <c r="J710" s="1" t="s">
        <v>38</v>
      </c>
      <c r="K710" s="1" t="s">
        <v>31</v>
      </c>
      <c r="L710" s="1">
        <v>1713</v>
      </c>
      <c r="M710" s="3">
        <f t="shared" si="33"/>
        <v>2.8604786923525978E-2</v>
      </c>
      <c r="N710" s="1">
        <v>49</v>
      </c>
      <c r="O710" s="4">
        <f t="shared" si="34"/>
        <v>4.4545454545454541</v>
      </c>
      <c r="P710" s="1">
        <v>11</v>
      </c>
      <c r="Q710" s="1">
        <v>138.77360501861</v>
      </c>
      <c r="R710" s="1">
        <v>250.6959501</v>
      </c>
      <c r="S710" s="5">
        <f t="shared" si="35"/>
        <v>249.6959501</v>
      </c>
      <c r="T710" s="1">
        <v>30</v>
      </c>
      <c r="U710" s="1">
        <v>3</v>
      </c>
      <c r="V710" s="1">
        <v>2</v>
      </c>
      <c r="W710" s="1">
        <v>267</v>
      </c>
      <c r="X710" s="1">
        <v>0.94277393639161799</v>
      </c>
    </row>
    <row r="711" spans="1:24" x14ac:dyDescent="0.3">
      <c r="A711" s="2">
        <v>45336</v>
      </c>
      <c r="B711" s="1" t="s">
        <v>25</v>
      </c>
      <c r="C711" s="1" t="s">
        <v>18</v>
      </c>
      <c r="D711" s="1" t="s">
        <v>36</v>
      </c>
      <c r="E711" s="1" t="s">
        <v>28</v>
      </c>
      <c r="F711" s="1">
        <v>54</v>
      </c>
      <c r="G711" s="1" t="str" cm="1">
        <f t="array" ref="G711">_xlfn.IFS(F711&lt;=25,"YOUTH",F711&lt;=48,"ADULT",TRUE,"SENIOR")</f>
        <v>SENIOR</v>
      </c>
      <c r="H711" s="1" t="s">
        <v>21</v>
      </c>
      <c r="I711" s="1" t="s">
        <v>43</v>
      </c>
      <c r="J711" s="1" t="s">
        <v>23</v>
      </c>
      <c r="K711" s="1" t="s">
        <v>31</v>
      </c>
      <c r="L711" s="1">
        <v>38361</v>
      </c>
      <c r="M711" s="3">
        <f t="shared" si="33"/>
        <v>1.7882745496728449E-2</v>
      </c>
      <c r="N711" s="1">
        <v>686</v>
      </c>
      <c r="O711" s="4">
        <f t="shared" si="34"/>
        <v>45.733333333333334</v>
      </c>
      <c r="P711" s="1">
        <v>15</v>
      </c>
      <c r="Q711" s="1">
        <v>2959.7523698516702</v>
      </c>
      <c r="R711" s="1">
        <v>245.331867635375</v>
      </c>
      <c r="S711" s="5">
        <f t="shared" si="35"/>
        <v>244.331867635375</v>
      </c>
      <c r="T711" s="1">
        <v>968</v>
      </c>
      <c r="U711" s="1">
        <v>187</v>
      </c>
      <c r="V711" s="1">
        <v>22</v>
      </c>
      <c r="W711" s="1">
        <v>4484</v>
      </c>
      <c r="X711" s="1">
        <v>0.53721597259192999</v>
      </c>
    </row>
    <row r="712" spans="1:24" x14ac:dyDescent="0.3">
      <c r="A712" s="2">
        <v>45331</v>
      </c>
      <c r="B712" s="1" t="s">
        <v>34</v>
      </c>
      <c r="C712" s="1" t="s">
        <v>26</v>
      </c>
      <c r="D712" s="1" t="s">
        <v>32</v>
      </c>
      <c r="E712" s="1" t="s">
        <v>20</v>
      </c>
      <c r="F712" s="1">
        <v>38</v>
      </c>
      <c r="G712" s="1" t="str" cm="1">
        <f t="array" ref="G712">_xlfn.IFS(F712&lt;=25,"YOUTH",F712&lt;=48,"ADULT",TRUE,"SENIOR")</f>
        <v>ADULT</v>
      </c>
      <c r="H712" s="1" t="s">
        <v>21</v>
      </c>
      <c r="I712" s="1" t="s">
        <v>37</v>
      </c>
      <c r="J712" s="1" t="s">
        <v>23</v>
      </c>
      <c r="K712" s="1" t="s">
        <v>31</v>
      </c>
      <c r="L712" s="1">
        <v>16184</v>
      </c>
      <c r="M712" s="3">
        <f t="shared" si="33"/>
        <v>0.13154967869500742</v>
      </c>
      <c r="N712" s="1">
        <v>2129</v>
      </c>
      <c r="O712" s="4">
        <f t="shared" si="34"/>
        <v>32.753846153846155</v>
      </c>
      <c r="P712" s="1">
        <v>65</v>
      </c>
      <c r="Q712" s="1">
        <v>1262.63144753655</v>
      </c>
      <c r="R712" s="1">
        <v>1699.8359658424999</v>
      </c>
      <c r="S712" s="5">
        <f t="shared" si="35"/>
        <v>1698.8359658424999</v>
      </c>
      <c r="T712" s="1">
        <v>304</v>
      </c>
      <c r="U712" s="1">
        <v>23</v>
      </c>
      <c r="V712" s="1">
        <v>30</v>
      </c>
      <c r="W712" s="1">
        <v>1882</v>
      </c>
      <c r="X712" s="1">
        <v>0.499496368101852</v>
      </c>
    </row>
    <row r="713" spans="1:24" x14ac:dyDescent="0.3">
      <c r="A713" s="2">
        <v>45298</v>
      </c>
      <c r="B713" s="1" t="s">
        <v>25</v>
      </c>
      <c r="C713" s="1" t="s">
        <v>18</v>
      </c>
      <c r="D713" s="1" t="s">
        <v>32</v>
      </c>
      <c r="E713" s="1" t="s">
        <v>28</v>
      </c>
      <c r="F713" s="1">
        <v>31</v>
      </c>
      <c r="G713" s="1" t="str" cm="1">
        <f t="array" ref="G713">_xlfn.IFS(F713&lt;=25,"YOUTH",F713&lt;=48,"ADULT",TRUE,"SENIOR")</f>
        <v>ADULT</v>
      </c>
      <c r="H713" s="1" t="s">
        <v>21</v>
      </c>
      <c r="I713" s="1" t="s">
        <v>43</v>
      </c>
      <c r="J713" s="1" t="s">
        <v>23</v>
      </c>
      <c r="K713" s="1" t="s">
        <v>31</v>
      </c>
      <c r="L713" s="1">
        <v>16261</v>
      </c>
      <c r="M713" s="3">
        <f t="shared" si="33"/>
        <v>5.1226861816616447E-2</v>
      </c>
      <c r="N713" s="1">
        <v>833</v>
      </c>
      <c r="O713" s="4">
        <f t="shared" si="34"/>
        <v>15.716981132075471</v>
      </c>
      <c r="P713" s="1">
        <v>53</v>
      </c>
      <c r="Q713" s="1">
        <v>1193.87943382289</v>
      </c>
      <c r="R713" s="1">
        <v>952.07196101054205</v>
      </c>
      <c r="S713" s="5">
        <f t="shared" si="35"/>
        <v>951.07196101054205</v>
      </c>
      <c r="T713" s="1">
        <v>425</v>
      </c>
      <c r="U713" s="1">
        <v>43</v>
      </c>
      <c r="V713" s="1">
        <v>28</v>
      </c>
      <c r="W713" s="1">
        <v>676</v>
      </c>
      <c r="X713" s="1">
        <v>0.65409908853667098</v>
      </c>
    </row>
    <row r="714" spans="1:24" x14ac:dyDescent="0.3">
      <c r="A714" s="2">
        <v>45318</v>
      </c>
      <c r="B714" s="1" t="s">
        <v>25</v>
      </c>
      <c r="C714" s="1" t="s">
        <v>18</v>
      </c>
      <c r="D714" s="1" t="s">
        <v>27</v>
      </c>
      <c r="E714" s="1" t="s">
        <v>28</v>
      </c>
      <c r="F714" s="1">
        <v>19</v>
      </c>
      <c r="G714" s="1" t="str" cm="1">
        <f t="array" ref="G714">_xlfn.IFS(F714&lt;=25,"YOUTH",F714&lt;=48,"ADULT",TRUE,"SENIOR")</f>
        <v>YOUTH</v>
      </c>
      <c r="H714" s="1" t="s">
        <v>29</v>
      </c>
      <c r="I714" s="1" t="s">
        <v>22</v>
      </c>
      <c r="J714" s="1" t="s">
        <v>23</v>
      </c>
      <c r="K714" s="1" t="s">
        <v>31</v>
      </c>
      <c r="L714" s="1">
        <v>21372</v>
      </c>
      <c r="M714" s="3">
        <f t="shared" si="33"/>
        <v>1.0247052217855138E-2</v>
      </c>
      <c r="N714" s="1">
        <v>219</v>
      </c>
      <c r="O714" s="4">
        <f t="shared" si="34"/>
        <v>18.25</v>
      </c>
      <c r="P714" s="1">
        <v>12</v>
      </c>
      <c r="Q714" s="1">
        <v>1923.8185359218801</v>
      </c>
      <c r="R714" s="1">
        <v>554.37601685935601</v>
      </c>
      <c r="S714" s="5">
        <f t="shared" si="35"/>
        <v>553.37601685935601</v>
      </c>
      <c r="T714" s="1">
        <v>383</v>
      </c>
      <c r="U714" s="1">
        <v>52</v>
      </c>
      <c r="V714" s="1">
        <v>37</v>
      </c>
      <c r="W714" s="1">
        <v>1355</v>
      </c>
      <c r="X714" s="1">
        <v>0.419289203713192</v>
      </c>
    </row>
    <row r="715" spans="1:24" x14ac:dyDescent="0.3">
      <c r="A715" s="2">
        <v>45292</v>
      </c>
      <c r="B715" s="1" t="s">
        <v>25</v>
      </c>
      <c r="C715" s="1" t="s">
        <v>26</v>
      </c>
      <c r="D715" s="1" t="s">
        <v>27</v>
      </c>
      <c r="E715" s="1" t="s">
        <v>28</v>
      </c>
      <c r="F715" s="1">
        <v>28</v>
      </c>
      <c r="G715" s="1" t="str" cm="1">
        <f t="array" ref="G715">_xlfn.IFS(F715&lt;=25,"YOUTH",F715&lt;=48,"ADULT",TRUE,"SENIOR")</f>
        <v>ADULT</v>
      </c>
      <c r="H715" s="1" t="s">
        <v>21</v>
      </c>
      <c r="I715" s="1" t="s">
        <v>22</v>
      </c>
      <c r="J715" s="1" t="s">
        <v>23</v>
      </c>
      <c r="K715" s="1" t="s">
        <v>39</v>
      </c>
      <c r="L715" s="1">
        <v>33140</v>
      </c>
      <c r="M715" s="3">
        <f t="shared" si="33"/>
        <v>4.1309595654797825E-2</v>
      </c>
      <c r="N715" s="1">
        <v>1369</v>
      </c>
      <c r="O715" s="4">
        <f t="shared" si="34"/>
        <v>16.297619047619047</v>
      </c>
      <c r="P715" s="1">
        <v>84</v>
      </c>
      <c r="Q715" s="1">
        <v>1741.76026343487</v>
      </c>
      <c r="R715" s="1">
        <v>3527.10581</v>
      </c>
      <c r="S715" s="5">
        <f t="shared" si="35"/>
        <v>3526.10581</v>
      </c>
      <c r="T715" s="1">
        <v>665</v>
      </c>
      <c r="U715" s="1">
        <v>119</v>
      </c>
      <c r="V715" s="1">
        <v>32</v>
      </c>
      <c r="W715" s="1">
        <v>3614</v>
      </c>
      <c r="X715" s="1">
        <v>0.83544483485994003</v>
      </c>
    </row>
    <row r="716" spans="1:24" x14ac:dyDescent="0.3">
      <c r="A716" s="2">
        <v>45318</v>
      </c>
      <c r="B716" s="1" t="s">
        <v>17</v>
      </c>
      <c r="C716" s="1" t="s">
        <v>18</v>
      </c>
      <c r="D716" s="1" t="s">
        <v>19</v>
      </c>
      <c r="E716" s="1" t="s">
        <v>20</v>
      </c>
      <c r="F716" s="1">
        <v>56</v>
      </c>
      <c r="G716" s="1" t="str" cm="1">
        <f t="array" ref="G716">_xlfn.IFS(F716&lt;=25,"YOUTH",F716&lt;=48,"ADULT",TRUE,"SENIOR")</f>
        <v>SENIOR</v>
      </c>
      <c r="H716" s="1" t="s">
        <v>21</v>
      </c>
      <c r="I716" s="1" t="s">
        <v>43</v>
      </c>
      <c r="J716" s="1" t="s">
        <v>23</v>
      </c>
      <c r="K716" s="1" t="s">
        <v>31</v>
      </c>
      <c r="L716" s="1">
        <v>34024</v>
      </c>
      <c r="M716" s="3">
        <f t="shared" si="33"/>
        <v>5.7635786503644489E-2</v>
      </c>
      <c r="N716" s="1">
        <v>1961</v>
      </c>
      <c r="O716" s="4">
        <f t="shared" si="34"/>
        <v>5.7339181286549712</v>
      </c>
      <c r="P716" s="1">
        <v>342</v>
      </c>
      <c r="Q716" s="1">
        <v>4621.7240489856304</v>
      </c>
      <c r="R716" s="1">
        <v>10214.949550204499</v>
      </c>
      <c r="S716" s="5">
        <f t="shared" si="35"/>
        <v>10213.949550204499</v>
      </c>
      <c r="T716" s="1">
        <v>542</v>
      </c>
      <c r="U716" s="1">
        <v>102</v>
      </c>
      <c r="V716" s="1">
        <v>30</v>
      </c>
      <c r="W716" s="1">
        <v>2132</v>
      </c>
      <c r="X716" s="1">
        <v>0.88606799935891001</v>
      </c>
    </row>
    <row r="717" spans="1:24" x14ac:dyDescent="0.3">
      <c r="A717" s="2">
        <v>45307</v>
      </c>
      <c r="B717" s="1" t="s">
        <v>17</v>
      </c>
      <c r="C717" s="1" t="s">
        <v>18</v>
      </c>
      <c r="D717" s="1" t="s">
        <v>27</v>
      </c>
      <c r="E717" s="1" t="s">
        <v>20</v>
      </c>
      <c r="F717" s="1">
        <v>55</v>
      </c>
      <c r="G717" s="1" t="str" cm="1">
        <f t="array" ref="G717">_xlfn.IFS(F717&lt;=25,"YOUTH",F717&lt;=48,"ADULT",TRUE,"SENIOR")</f>
        <v>SENIOR</v>
      </c>
      <c r="H717" s="1" t="s">
        <v>21</v>
      </c>
      <c r="I717" s="1" t="s">
        <v>22</v>
      </c>
      <c r="J717" s="1" t="s">
        <v>30</v>
      </c>
      <c r="K717" s="1" t="s">
        <v>31</v>
      </c>
      <c r="L717" s="1">
        <v>48342</v>
      </c>
      <c r="M717" s="3">
        <f t="shared" si="33"/>
        <v>0.14873195151214266</v>
      </c>
      <c r="N717" s="1">
        <v>7190</v>
      </c>
      <c r="O717" s="4">
        <f t="shared" si="34"/>
        <v>7.9623477297895899</v>
      </c>
      <c r="P717" s="1">
        <v>903</v>
      </c>
      <c r="Q717" s="1">
        <v>3060.1028035740201</v>
      </c>
      <c r="R717" s="1">
        <v>23639.5930202253</v>
      </c>
      <c r="S717" s="5">
        <f t="shared" si="35"/>
        <v>23638.5930202253</v>
      </c>
      <c r="T717" s="1">
        <v>1236</v>
      </c>
      <c r="U717" s="1">
        <v>124</v>
      </c>
      <c r="V717" s="1">
        <v>99</v>
      </c>
      <c r="W717" s="1">
        <v>2414</v>
      </c>
      <c r="X717" s="1">
        <v>0.77732183431141499</v>
      </c>
    </row>
    <row r="718" spans="1:24" x14ac:dyDescent="0.3">
      <c r="A718" s="2">
        <v>45329</v>
      </c>
      <c r="B718" s="1" t="s">
        <v>34</v>
      </c>
      <c r="C718" s="1" t="s">
        <v>18</v>
      </c>
      <c r="D718" s="1" t="s">
        <v>32</v>
      </c>
      <c r="E718" s="1" t="s">
        <v>28</v>
      </c>
      <c r="F718" s="1">
        <v>51</v>
      </c>
      <c r="G718" s="1" t="str" cm="1">
        <f t="array" ref="G718">_xlfn.IFS(F718&lt;=25,"YOUTH",F718&lt;=48,"ADULT",TRUE,"SENIOR")</f>
        <v>SENIOR</v>
      </c>
      <c r="H718" s="1" t="s">
        <v>29</v>
      </c>
      <c r="I718" s="1" t="s">
        <v>37</v>
      </c>
      <c r="J718" s="1" t="s">
        <v>38</v>
      </c>
      <c r="K718" s="1" t="s">
        <v>31</v>
      </c>
      <c r="L718" s="1">
        <v>33544</v>
      </c>
      <c r="M718" s="3">
        <f t="shared" si="33"/>
        <v>8.3293584545671359E-2</v>
      </c>
      <c r="N718" s="1">
        <v>2794</v>
      </c>
      <c r="O718" s="4">
        <f t="shared" si="34"/>
        <v>4.0317460317460316</v>
      </c>
      <c r="P718" s="1">
        <v>693</v>
      </c>
      <c r="Q718" s="1">
        <v>1314.1901341738301</v>
      </c>
      <c r="R718" s="1">
        <v>14168.3316477676</v>
      </c>
      <c r="S718" s="5">
        <f t="shared" si="35"/>
        <v>14167.3316477676</v>
      </c>
      <c r="T718" s="1">
        <v>942</v>
      </c>
      <c r="U718" s="1">
        <v>56</v>
      </c>
      <c r="V718" s="1">
        <v>78</v>
      </c>
      <c r="W718" s="1">
        <v>894</v>
      </c>
      <c r="X718" s="1">
        <v>0.54739726350998497</v>
      </c>
    </row>
    <row r="719" spans="1:24" x14ac:dyDescent="0.3">
      <c r="A719" s="2">
        <v>45298</v>
      </c>
      <c r="B719" s="1" t="s">
        <v>25</v>
      </c>
      <c r="C719" s="1" t="s">
        <v>18</v>
      </c>
      <c r="D719" s="1" t="s">
        <v>32</v>
      </c>
      <c r="E719" s="1" t="s">
        <v>20</v>
      </c>
      <c r="F719" s="1">
        <v>55</v>
      </c>
      <c r="G719" s="1" t="str" cm="1">
        <f t="array" ref="G719">_xlfn.IFS(F719&lt;=25,"YOUTH",F719&lt;=48,"ADULT",TRUE,"SENIOR")</f>
        <v>SENIOR</v>
      </c>
      <c r="H719" s="1" t="s">
        <v>29</v>
      </c>
      <c r="I719" s="1" t="s">
        <v>22</v>
      </c>
      <c r="J719" s="1" t="s">
        <v>30</v>
      </c>
      <c r="K719" s="1" t="s">
        <v>39</v>
      </c>
      <c r="L719" s="1">
        <v>1037</v>
      </c>
      <c r="M719" s="3">
        <f t="shared" si="33"/>
        <v>3.8572806171648988E-2</v>
      </c>
      <c r="N719" s="1">
        <v>40</v>
      </c>
      <c r="O719" s="4">
        <f t="shared" si="34"/>
        <v>20</v>
      </c>
      <c r="P719" s="1">
        <v>2</v>
      </c>
      <c r="Q719" s="1">
        <v>33.755970019762003</v>
      </c>
      <c r="R719" s="1">
        <v>79.609580164714302</v>
      </c>
      <c r="S719" s="5">
        <f t="shared" si="35"/>
        <v>78.609580164714302</v>
      </c>
      <c r="T719" s="1">
        <v>21</v>
      </c>
      <c r="U719" s="1">
        <v>2</v>
      </c>
      <c r="V719" s="1">
        <v>0</v>
      </c>
      <c r="W719" s="1">
        <v>41</v>
      </c>
      <c r="X719" s="1">
        <v>0.46773551069383401</v>
      </c>
    </row>
    <row r="720" spans="1:24" x14ac:dyDescent="0.3">
      <c r="A720" s="2">
        <v>45335</v>
      </c>
      <c r="B720" s="1" t="s">
        <v>17</v>
      </c>
      <c r="C720" s="1" t="s">
        <v>35</v>
      </c>
      <c r="D720" s="1" t="s">
        <v>36</v>
      </c>
      <c r="E720" s="1" t="s">
        <v>20</v>
      </c>
      <c r="F720" s="1">
        <v>51</v>
      </c>
      <c r="G720" s="1" t="str" cm="1">
        <f t="array" ref="G720">_xlfn.IFS(F720&lt;=25,"YOUTH",F720&lt;=48,"ADULT",TRUE,"SENIOR")</f>
        <v>SENIOR</v>
      </c>
      <c r="H720" s="1" t="s">
        <v>21</v>
      </c>
      <c r="I720" s="1" t="s">
        <v>37</v>
      </c>
      <c r="J720" s="1" t="s">
        <v>23</v>
      </c>
      <c r="K720" s="1" t="s">
        <v>24</v>
      </c>
      <c r="L720" s="1">
        <v>44032</v>
      </c>
      <c r="M720" s="3">
        <f t="shared" si="33"/>
        <v>5.6867732558139532E-2</v>
      </c>
      <c r="N720" s="1">
        <v>2504</v>
      </c>
      <c r="O720" s="4">
        <f t="shared" si="34"/>
        <v>10.934497816593886</v>
      </c>
      <c r="P720" s="1">
        <v>229</v>
      </c>
      <c r="Q720" s="1">
        <v>957.47491381402904</v>
      </c>
      <c r="R720" s="1">
        <v>14822.8676472855</v>
      </c>
      <c r="S720" s="5">
        <f t="shared" si="35"/>
        <v>14821.8676472855</v>
      </c>
      <c r="T720" s="1">
        <v>1123</v>
      </c>
      <c r="U720" s="1">
        <v>122</v>
      </c>
      <c r="V720" s="1">
        <v>105</v>
      </c>
      <c r="W720" s="1">
        <v>6872</v>
      </c>
      <c r="X720" s="1">
        <v>0.61017930335593795</v>
      </c>
    </row>
    <row r="721" spans="1:24" x14ac:dyDescent="0.3">
      <c r="A721" s="2">
        <v>45314</v>
      </c>
      <c r="B721" s="1" t="s">
        <v>17</v>
      </c>
      <c r="C721" s="1" t="s">
        <v>18</v>
      </c>
      <c r="D721" s="1" t="s">
        <v>36</v>
      </c>
      <c r="E721" s="1" t="s">
        <v>20</v>
      </c>
      <c r="F721" s="1">
        <v>35</v>
      </c>
      <c r="G721" s="1" t="str" cm="1">
        <f t="array" ref="G721">_xlfn.IFS(F721&lt;=25,"YOUTH",F721&lt;=48,"ADULT",TRUE,"SENIOR")</f>
        <v>ADULT</v>
      </c>
      <c r="H721" s="1" t="s">
        <v>29</v>
      </c>
      <c r="I721" s="1" t="s">
        <v>33</v>
      </c>
      <c r="J721" s="1" t="s">
        <v>38</v>
      </c>
      <c r="K721" s="1" t="s">
        <v>39</v>
      </c>
      <c r="L721" s="1">
        <v>13697</v>
      </c>
      <c r="M721" s="3">
        <f t="shared" si="33"/>
        <v>5.6216689786084545E-2</v>
      </c>
      <c r="N721" s="1">
        <v>770</v>
      </c>
      <c r="O721" s="4">
        <f t="shared" si="34"/>
        <v>4.0740740740740744</v>
      </c>
      <c r="P721" s="1">
        <v>189</v>
      </c>
      <c r="Q721" s="1">
        <v>1026.88176205693</v>
      </c>
      <c r="R721" s="1">
        <v>9368.8619863130898</v>
      </c>
      <c r="S721" s="5">
        <f t="shared" si="35"/>
        <v>9367.8619863130898</v>
      </c>
      <c r="T721" s="1">
        <v>88</v>
      </c>
      <c r="U721" s="1">
        <v>17</v>
      </c>
      <c r="V721" s="1">
        <v>7</v>
      </c>
      <c r="W721" s="1">
        <v>2007</v>
      </c>
      <c r="X721" s="1">
        <v>0.85833459127788903</v>
      </c>
    </row>
    <row r="722" spans="1:24" x14ac:dyDescent="0.3">
      <c r="A722" s="2">
        <v>45332</v>
      </c>
      <c r="B722" s="1" t="s">
        <v>34</v>
      </c>
      <c r="C722" s="1" t="s">
        <v>41</v>
      </c>
      <c r="D722" s="1" t="s">
        <v>32</v>
      </c>
      <c r="E722" s="1" t="s">
        <v>20</v>
      </c>
      <c r="F722" s="1">
        <v>47</v>
      </c>
      <c r="G722" s="1" t="str" cm="1">
        <f t="array" ref="G722">_xlfn.IFS(F722&lt;=25,"YOUTH",F722&lt;=48,"ADULT",TRUE,"SENIOR")</f>
        <v>ADULT</v>
      </c>
      <c r="H722" s="1" t="s">
        <v>21</v>
      </c>
      <c r="I722" s="1" t="s">
        <v>33</v>
      </c>
      <c r="J722" s="1" t="s">
        <v>38</v>
      </c>
      <c r="K722" s="1" t="s">
        <v>39</v>
      </c>
      <c r="L722" s="1">
        <v>42420</v>
      </c>
      <c r="M722" s="3">
        <f t="shared" si="33"/>
        <v>1.2753418198962753E-2</v>
      </c>
      <c r="N722" s="1">
        <v>541</v>
      </c>
      <c r="O722" s="4">
        <f t="shared" si="34"/>
        <v>4.7456140350877192</v>
      </c>
      <c r="P722" s="1">
        <v>114</v>
      </c>
      <c r="Q722" s="1">
        <v>1882.9995574325901</v>
      </c>
      <c r="R722" s="1">
        <v>6086.1130310035496</v>
      </c>
      <c r="S722" s="5">
        <f t="shared" si="35"/>
        <v>6085.1130310035496</v>
      </c>
      <c r="T722" s="1">
        <v>1173</v>
      </c>
      <c r="U722" s="1">
        <v>134</v>
      </c>
      <c r="V722" s="1">
        <v>25</v>
      </c>
      <c r="W722" s="1">
        <v>793</v>
      </c>
      <c r="X722" s="1">
        <v>0.59130529200000004</v>
      </c>
    </row>
    <row r="723" spans="1:24" x14ac:dyDescent="0.3">
      <c r="A723" s="2">
        <v>45350</v>
      </c>
      <c r="B723" s="1" t="s">
        <v>40</v>
      </c>
      <c r="C723" s="1" t="s">
        <v>18</v>
      </c>
      <c r="D723" s="1" t="s">
        <v>32</v>
      </c>
      <c r="E723" s="1" t="s">
        <v>28</v>
      </c>
      <c r="F723" s="1">
        <v>32</v>
      </c>
      <c r="G723" s="1" t="str" cm="1">
        <f t="array" ref="G723">_xlfn.IFS(F723&lt;=25,"YOUTH",F723&lt;=48,"ADULT",TRUE,"SENIOR")</f>
        <v>ADULT</v>
      </c>
      <c r="H723" s="1" t="s">
        <v>21</v>
      </c>
      <c r="I723" s="1" t="s">
        <v>33</v>
      </c>
      <c r="J723" s="1" t="s">
        <v>23</v>
      </c>
      <c r="K723" s="1" t="s">
        <v>31</v>
      </c>
      <c r="L723" s="1">
        <v>49698</v>
      </c>
      <c r="M723" s="3">
        <f t="shared" si="33"/>
        <v>2.8914644452493057E-2</v>
      </c>
      <c r="N723" s="1">
        <v>1437</v>
      </c>
      <c r="O723" s="4">
        <f t="shared" si="34"/>
        <v>7.8097826086956523</v>
      </c>
      <c r="P723" s="1">
        <v>184</v>
      </c>
      <c r="Q723" s="1">
        <v>1133.82147016153</v>
      </c>
      <c r="R723" s="1">
        <v>10899.1592493306</v>
      </c>
      <c r="S723" s="5">
        <f t="shared" si="35"/>
        <v>10898.1592493306</v>
      </c>
      <c r="T723" s="1">
        <v>483</v>
      </c>
      <c r="U723" s="1">
        <v>46</v>
      </c>
      <c r="V723" s="1">
        <v>14</v>
      </c>
      <c r="W723" s="1">
        <v>2416</v>
      </c>
      <c r="X723" s="1">
        <v>0.41884001500000001</v>
      </c>
    </row>
    <row r="724" spans="1:24" x14ac:dyDescent="0.3">
      <c r="A724" s="2">
        <v>45302</v>
      </c>
      <c r="B724" s="1" t="s">
        <v>25</v>
      </c>
      <c r="C724" s="1" t="s">
        <v>26</v>
      </c>
      <c r="D724" s="1" t="s">
        <v>19</v>
      </c>
      <c r="E724" s="1" t="s">
        <v>20</v>
      </c>
      <c r="F724" s="1">
        <v>44</v>
      </c>
      <c r="G724" s="1" t="str" cm="1">
        <f t="array" ref="G724">_xlfn.IFS(F724&lt;=25,"YOUTH",F724&lt;=48,"ADULT",TRUE,"SENIOR")</f>
        <v>ADULT</v>
      </c>
      <c r="H724" s="1" t="s">
        <v>21</v>
      </c>
      <c r="I724" s="1" t="s">
        <v>33</v>
      </c>
      <c r="J724" s="1" t="s">
        <v>23</v>
      </c>
      <c r="K724" s="1" t="s">
        <v>39</v>
      </c>
      <c r="L724" s="1">
        <v>32707</v>
      </c>
      <c r="M724" s="3">
        <f t="shared" si="33"/>
        <v>0.10731647659522427</v>
      </c>
      <c r="N724" s="1">
        <v>3510</v>
      </c>
      <c r="O724" s="4">
        <f t="shared" si="34"/>
        <v>6.7891682785299805</v>
      </c>
      <c r="P724" s="1">
        <v>517</v>
      </c>
      <c r="Q724" s="1">
        <v>2865.2163090638801</v>
      </c>
      <c r="R724" s="1">
        <v>14401.6932790184</v>
      </c>
      <c r="S724" s="5">
        <f t="shared" si="35"/>
        <v>14400.6932790184</v>
      </c>
      <c r="T724" s="1">
        <v>373</v>
      </c>
      <c r="U724" s="1">
        <v>39</v>
      </c>
      <c r="V724" s="1">
        <v>22</v>
      </c>
      <c r="W724" s="1">
        <v>3809</v>
      </c>
      <c r="X724" s="1">
        <v>0.55085420692382203</v>
      </c>
    </row>
    <row r="725" spans="1:24" x14ac:dyDescent="0.3">
      <c r="A725" s="2">
        <v>45333</v>
      </c>
      <c r="B725" s="1" t="s">
        <v>17</v>
      </c>
      <c r="C725" s="1" t="s">
        <v>41</v>
      </c>
      <c r="D725" s="1" t="s">
        <v>19</v>
      </c>
      <c r="E725" s="1" t="s">
        <v>20</v>
      </c>
      <c r="F725" s="1">
        <v>51</v>
      </c>
      <c r="G725" s="1" t="str" cm="1">
        <f t="array" ref="G725">_xlfn.IFS(F725&lt;=25,"YOUTH",F725&lt;=48,"ADULT",TRUE,"SENIOR")</f>
        <v>SENIOR</v>
      </c>
      <c r="H725" s="1" t="s">
        <v>21</v>
      </c>
      <c r="I725" s="1" t="s">
        <v>22</v>
      </c>
      <c r="J725" s="1" t="s">
        <v>23</v>
      </c>
      <c r="K725" s="1" t="s">
        <v>39</v>
      </c>
      <c r="L725" s="1">
        <v>27016</v>
      </c>
      <c r="M725" s="3">
        <f t="shared" si="33"/>
        <v>2.6798933965057743E-2</v>
      </c>
      <c r="N725" s="1">
        <v>724</v>
      </c>
      <c r="O725" s="4">
        <f t="shared" si="34"/>
        <v>4.7012987012987013</v>
      </c>
      <c r="P725" s="1">
        <v>154</v>
      </c>
      <c r="Q725" s="1">
        <v>2928.45906114536</v>
      </c>
      <c r="R725" s="1">
        <v>1399.3865789660199</v>
      </c>
      <c r="S725" s="5">
        <f t="shared" si="35"/>
        <v>1398.3865789660199</v>
      </c>
      <c r="T725" s="1">
        <v>171</v>
      </c>
      <c r="U725" s="1">
        <v>18</v>
      </c>
      <c r="V725" s="1">
        <v>9</v>
      </c>
      <c r="W725" s="1">
        <v>1926</v>
      </c>
      <c r="X725" s="1">
        <v>0.94447008554164702</v>
      </c>
    </row>
    <row r="726" spans="1:24" x14ac:dyDescent="0.3">
      <c r="A726" s="2">
        <v>45344</v>
      </c>
      <c r="B726" s="1" t="s">
        <v>34</v>
      </c>
      <c r="C726" s="1" t="s">
        <v>35</v>
      </c>
      <c r="D726" s="1" t="s">
        <v>32</v>
      </c>
      <c r="E726" s="1" t="s">
        <v>28</v>
      </c>
      <c r="F726" s="1">
        <v>55</v>
      </c>
      <c r="G726" s="1" t="str" cm="1">
        <f t="array" ref="G726">_xlfn.IFS(F726&lt;=25,"YOUTH",F726&lt;=48,"ADULT",TRUE,"SENIOR")</f>
        <v>SENIOR</v>
      </c>
      <c r="H726" s="1" t="s">
        <v>42</v>
      </c>
      <c r="I726" s="1" t="s">
        <v>43</v>
      </c>
      <c r="J726" s="1" t="s">
        <v>38</v>
      </c>
      <c r="K726" s="1" t="s">
        <v>31</v>
      </c>
      <c r="L726" s="1">
        <v>35600</v>
      </c>
      <c r="M726" s="3">
        <f t="shared" si="33"/>
        <v>4.2275280898876402E-2</v>
      </c>
      <c r="N726" s="1">
        <v>1505</v>
      </c>
      <c r="O726" s="4">
        <f t="shared" si="34"/>
        <v>7.6785714285714288</v>
      </c>
      <c r="P726" s="1">
        <v>196</v>
      </c>
      <c r="Q726" s="1">
        <v>1108.8558636165901</v>
      </c>
      <c r="R726" s="1">
        <v>8911.3991543177399</v>
      </c>
      <c r="S726" s="5">
        <f t="shared" si="35"/>
        <v>8910.3991543177399</v>
      </c>
      <c r="T726" s="1">
        <v>1037</v>
      </c>
      <c r="U726" s="1">
        <v>179</v>
      </c>
      <c r="V726" s="1">
        <v>79</v>
      </c>
      <c r="W726" s="1">
        <v>5924</v>
      </c>
      <c r="X726" s="1">
        <v>0.77216781561623504</v>
      </c>
    </row>
    <row r="727" spans="1:24" x14ac:dyDescent="0.3">
      <c r="A727" s="2">
        <v>45324</v>
      </c>
      <c r="B727" s="1" t="s">
        <v>34</v>
      </c>
      <c r="C727" s="1" t="s">
        <v>41</v>
      </c>
      <c r="D727" s="1" t="s">
        <v>27</v>
      </c>
      <c r="E727" s="1" t="s">
        <v>20</v>
      </c>
      <c r="F727" s="1">
        <v>50</v>
      </c>
      <c r="G727" s="1" t="str" cm="1">
        <f t="array" ref="G727">_xlfn.IFS(F727&lt;=25,"YOUTH",F727&lt;=48,"ADULT",TRUE,"SENIOR")</f>
        <v>SENIOR</v>
      </c>
      <c r="H727" s="1" t="s">
        <v>21</v>
      </c>
      <c r="I727" s="1" t="s">
        <v>22</v>
      </c>
      <c r="J727" s="1" t="s">
        <v>23</v>
      </c>
      <c r="K727" s="1" t="s">
        <v>31</v>
      </c>
      <c r="L727" s="1">
        <v>49285</v>
      </c>
      <c r="M727" s="3">
        <f t="shared" si="33"/>
        <v>5.9084914274119917E-2</v>
      </c>
      <c r="N727" s="1">
        <v>2912</v>
      </c>
      <c r="O727" s="4">
        <f t="shared" si="34"/>
        <v>14.857142857142858</v>
      </c>
      <c r="P727" s="1">
        <v>196</v>
      </c>
      <c r="Q727" s="1">
        <v>3938.8424381349</v>
      </c>
      <c r="R727" s="1">
        <v>3383.6849902451299</v>
      </c>
      <c r="S727" s="5">
        <f t="shared" si="35"/>
        <v>3382.6849902451299</v>
      </c>
      <c r="T727" s="1">
        <v>1296</v>
      </c>
      <c r="U727" s="1">
        <v>80</v>
      </c>
      <c r="V727" s="1">
        <v>35</v>
      </c>
      <c r="W727" s="1">
        <v>7843</v>
      </c>
      <c r="X727" s="1">
        <v>0.89547015648742001</v>
      </c>
    </row>
    <row r="728" spans="1:24" x14ac:dyDescent="0.3">
      <c r="A728" s="2">
        <v>45341</v>
      </c>
      <c r="B728" s="1" t="s">
        <v>34</v>
      </c>
      <c r="C728" s="1" t="s">
        <v>41</v>
      </c>
      <c r="D728" s="1" t="s">
        <v>36</v>
      </c>
      <c r="E728" s="1" t="s">
        <v>20</v>
      </c>
      <c r="F728" s="1">
        <v>41</v>
      </c>
      <c r="G728" s="1" t="str" cm="1">
        <f t="array" ref="G728">_xlfn.IFS(F728&lt;=25,"YOUTH",F728&lt;=48,"ADULT",TRUE,"SENIOR")</f>
        <v>ADULT</v>
      </c>
      <c r="H728" s="1" t="s">
        <v>42</v>
      </c>
      <c r="I728" s="1" t="s">
        <v>37</v>
      </c>
      <c r="J728" s="1" t="s">
        <v>23</v>
      </c>
      <c r="K728" s="1" t="s">
        <v>31</v>
      </c>
      <c r="L728" s="1">
        <v>24984</v>
      </c>
      <c r="M728" s="3">
        <f t="shared" si="33"/>
        <v>0.11607428754402818</v>
      </c>
      <c r="N728" s="1">
        <v>2900</v>
      </c>
      <c r="O728" s="4">
        <f t="shared" si="34"/>
        <v>4.7540983606557381</v>
      </c>
      <c r="P728" s="1">
        <v>610</v>
      </c>
      <c r="Q728" s="1">
        <v>2914.9264578009302</v>
      </c>
      <c r="R728" s="1">
        <v>25612.580722328101</v>
      </c>
      <c r="S728" s="5">
        <f t="shared" si="35"/>
        <v>25611.580722328101</v>
      </c>
      <c r="T728" s="1">
        <v>695</v>
      </c>
      <c r="U728" s="1">
        <v>67</v>
      </c>
      <c r="V728" s="1">
        <v>49</v>
      </c>
      <c r="W728" s="1">
        <v>4482</v>
      </c>
      <c r="X728" s="1">
        <v>0.82617589712560902</v>
      </c>
    </row>
    <row r="729" spans="1:24" x14ac:dyDescent="0.3">
      <c r="A729" s="2">
        <v>45327</v>
      </c>
      <c r="B729" s="1" t="s">
        <v>17</v>
      </c>
      <c r="C729" s="1" t="s">
        <v>41</v>
      </c>
      <c r="D729" s="1" t="s">
        <v>32</v>
      </c>
      <c r="E729" s="1" t="s">
        <v>20</v>
      </c>
      <c r="F729" s="1">
        <v>32</v>
      </c>
      <c r="G729" s="1" t="str" cm="1">
        <f t="array" ref="G729">_xlfn.IFS(F729&lt;=25,"YOUTH",F729&lt;=48,"ADULT",TRUE,"SENIOR")</f>
        <v>ADULT</v>
      </c>
      <c r="H729" s="1" t="s">
        <v>21</v>
      </c>
      <c r="I729" s="1" t="s">
        <v>22</v>
      </c>
      <c r="J729" s="1" t="s">
        <v>23</v>
      </c>
      <c r="K729" s="1" t="s">
        <v>24</v>
      </c>
      <c r="L729" s="1">
        <v>6167</v>
      </c>
      <c r="M729" s="3">
        <f t="shared" si="33"/>
        <v>9.1454515972109615E-2</v>
      </c>
      <c r="N729" s="1">
        <v>564</v>
      </c>
      <c r="O729" s="4">
        <f t="shared" si="34"/>
        <v>6.9629629629629628</v>
      </c>
      <c r="P729" s="1">
        <v>81</v>
      </c>
      <c r="Q729" s="1">
        <v>913.671186470664</v>
      </c>
      <c r="R729" s="1">
        <v>4298.5213775719403</v>
      </c>
      <c r="S729" s="5">
        <f t="shared" si="35"/>
        <v>4297.5213775719403</v>
      </c>
      <c r="T729" s="1">
        <v>161</v>
      </c>
      <c r="U729" s="1">
        <v>31</v>
      </c>
      <c r="V729" s="1">
        <v>11</v>
      </c>
      <c r="W729" s="1">
        <v>721</v>
      </c>
      <c r="X729" s="1">
        <v>0.69683803342964601</v>
      </c>
    </row>
    <row r="730" spans="1:24" x14ac:dyDescent="0.3">
      <c r="A730" s="2">
        <v>45328</v>
      </c>
      <c r="B730" s="1" t="s">
        <v>25</v>
      </c>
      <c r="C730" s="1" t="s">
        <v>26</v>
      </c>
      <c r="D730" s="1" t="s">
        <v>27</v>
      </c>
      <c r="E730" s="1" t="s">
        <v>28</v>
      </c>
      <c r="F730" s="1">
        <v>47</v>
      </c>
      <c r="G730" s="1" t="str" cm="1">
        <f t="array" ref="G730">_xlfn.IFS(F730&lt;=25,"YOUTH",F730&lt;=48,"ADULT",TRUE,"SENIOR")</f>
        <v>ADULT</v>
      </c>
      <c r="H730" s="1" t="s">
        <v>29</v>
      </c>
      <c r="I730" s="1" t="s">
        <v>22</v>
      </c>
      <c r="J730" s="1" t="s">
        <v>38</v>
      </c>
      <c r="K730" s="1" t="s">
        <v>39</v>
      </c>
      <c r="L730" s="1">
        <v>1432</v>
      </c>
      <c r="M730" s="3">
        <f t="shared" si="33"/>
        <v>0.10614525139664804</v>
      </c>
      <c r="N730" s="1">
        <v>152</v>
      </c>
      <c r="O730" s="4">
        <f t="shared" si="34"/>
        <v>19</v>
      </c>
      <c r="P730" s="1">
        <v>8</v>
      </c>
      <c r="Q730" s="1">
        <v>152.844154558659</v>
      </c>
      <c r="R730" s="1">
        <v>447.49191710000002</v>
      </c>
      <c r="S730" s="5">
        <f t="shared" si="35"/>
        <v>446.49191710000002</v>
      </c>
      <c r="T730" s="1">
        <v>24</v>
      </c>
      <c r="U730" s="1">
        <v>1</v>
      </c>
      <c r="V730" s="1">
        <v>0</v>
      </c>
      <c r="W730" s="1">
        <v>110</v>
      </c>
      <c r="X730" s="1">
        <v>0.48177887981723899</v>
      </c>
    </row>
    <row r="731" spans="1:24" x14ac:dyDescent="0.3">
      <c r="A731" s="2">
        <v>45332</v>
      </c>
      <c r="B731" s="1" t="s">
        <v>40</v>
      </c>
      <c r="C731" s="1" t="s">
        <v>26</v>
      </c>
      <c r="D731" s="1" t="s">
        <v>32</v>
      </c>
      <c r="E731" s="1" t="s">
        <v>28</v>
      </c>
      <c r="F731" s="1">
        <v>59</v>
      </c>
      <c r="G731" s="1" t="str" cm="1">
        <f t="array" ref="G731">_xlfn.IFS(F731&lt;=25,"YOUTH",F731&lt;=48,"ADULT",TRUE,"SENIOR")</f>
        <v>SENIOR</v>
      </c>
      <c r="H731" s="1" t="s">
        <v>29</v>
      </c>
      <c r="I731" s="1" t="s">
        <v>37</v>
      </c>
      <c r="J731" s="1" t="s">
        <v>38</v>
      </c>
      <c r="K731" s="1" t="s">
        <v>39</v>
      </c>
      <c r="L731" s="1">
        <v>5151</v>
      </c>
      <c r="M731" s="3">
        <f t="shared" si="33"/>
        <v>8.9303047951854009E-2</v>
      </c>
      <c r="N731" s="1">
        <v>460</v>
      </c>
      <c r="O731" s="4">
        <f t="shared" si="34"/>
        <v>7.419354838709677</v>
      </c>
      <c r="P731" s="1">
        <v>62</v>
      </c>
      <c r="Q731" s="1">
        <v>266.971908408579</v>
      </c>
      <c r="R731" s="1">
        <v>1526.41165459748</v>
      </c>
      <c r="S731" s="5">
        <f t="shared" si="35"/>
        <v>1525.41165459748</v>
      </c>
      <c r="T731" s="1">
        <v>144</v>
      </c>
      <c r="U731" s="1">
        <v>23</v>
      </c>
      <c r="V731" s="1">
        <v>9</v>
      </c>
      <c r="W731" s="1">
        <v>644</v>
      </c>
      <c r="X731" s="1">
        <v>0.59175446309564395</v>
      </c>
    </row>
    <row r="732" spans="1:24" x14ac:dyDescent="0.3">
      <c r="A732" s="2">
        <v>45350</v>
      </c>
      <c r="B732" s="1" t="s">
        <v>25</v>
      </c>
      <c r="C732" s="1" t="s">
        <v>26</v>
      </c>
      <c r="D732" s="1" t="s">
        <v>36</v>
      </c>
      <c r="E732" s="1" t="s">
        <v>20</v>
      </c>
      <c r="F732" s="1">
        <v>34</v>
      </c>
      <c r="G732" s="1" t="str" cm="1">
        <f t="array" ref="G732">_xlfn.IFS(F732&lt;=25,"YOUTH",F732&lt;=48,"ADULT",TRUE,"SENIOR")</f>
        <v>ADULT</v>
      </c>
      <c r="H732" s="1" t="s">
        <v>21</v>
      </c>
      <c r="I732" s="1" t="s">
        <v>33</v>
      </c>
      <c r="J732" s="1" t="s">
        <v>30</v>
      </c>
      <c r="K732" s="1" t="s">
        <v>31</v>
      </c>
      <c r="L732" s="1">
        <v>48680</v>
      </c>
      <c r="M732" s="3">
        <f t="shared" si="33"/>
        <v>0.10569022185702548</v>
      </c>
      <c r="N732" s="1">
        <v>5145</v>
      </c>
      <c r="O732" s="4">
        <f t="shared" si="34"/>
        <v>8.7055837563451774</v>
      </c>
      <c r="P732" s="1">
        <v>591</v>
      </c>
      <c r="Q732" s="1">
        <v>5508.2380539774203</v>
      </c>
      <c r="R732" s="1">
        <v>22640.122629150199</v>
      </c>
      <c r="S732" s="5">
        <f t="shared" si="35"/>
        <v>22639.122629150199</v>
      </c>
      <c r="T732" s="1">
        <v>1423</v>
      </c>
      <c r="U732" s="1">
        <v>147</v>
      </c>
      <c r="V732" s="1">
        <v>53</v>
      </c>
      <c r="W732" s="1">
        <v>1311</v>
      </c>
      <c r="X732" s="1">
        <v>0.72105712390082199</v>
      </c>
    </row>
    <row r="733" spans="1:24" x14ac:dyDescent="0.3">
      <c r="A733" s="2">
        <v>45308</v>
      </c>
      <c r="B733" s="1" t="s">
        <v>34</v>
      </c>
      <c r="C733" s="1" t="s">
        <v>35</v>
      </c>
      <c r="D733" s="1" t="s">
        <v>36</v>
      </c>
      <c r="E733" s="1" t="s">
        <v>20</v>
      </c>
      <c r="F733" s="1">
        <v>22</v>
      </c>
      <c r="G733" s="1" t="str" cm="1">
        <f t="array" ref="G733">_xlfn.IFS(F733&lt;=25,"YOUTH",F733&lt;=48,"ADULT",TRUE,"SENIOR")</f>
        <v>YOUTH</v>
      </c>
      <c r="H733" s="1" t="s">
        <v>29</v>
      </c>
      <c r="I733" s="1" t="s">
        <v>33</v>
      </c>
      <c r="J733" s="1" t="s">
        <v>23</v>
      </c>
      <c r="K733" s="1" t="s">
        <v>31</v>
      </c>
      <c r="L733" s="1">
        <v>7411</v>
      </c>
      <c r="M733" s="3">
        <f t="shared" si="33"/>
        <v>1.0389960868978546E-2</v>
      </c>
      <c r="N733" s="1">
        <v>77</v>
      </c>
      <c r="O733" s="4">
        <f t="shared" si="34"/>
        <v>4.5294117647058822</v>
      </c>
      <c r="P733" s="1">
        <v>17</v>
      </c>
      <c r="Q733" s="1">
        <v>724.28314768102803</v>
      </c>
      <c r="R733" s="1">
        <v>771.16643138629695</v>
      </c>
      <c r="S733" s="5">
        <f t="shared" si="35"/>
        <v>770.16643138629695</v>
      </c>
      <c r="T733" s="1">
        <v>130</v>
      </c>
      <c r="U733" s="1">
        <v>17</v>
      </c>
      <c r="V733" s="1">
        <v>4</v>
      </c>
      <c r="W733" s="1">
        <v>87</v>
      </c>
      <c r="X733" s="1">
        <v>0.87884779180259498</v>
      </c>
    </row>
    <row r="734" spans="1:24" x14ac:dyDescent="0.3">
      <c r="A734" s="2">
        <v>45326</v>
      </c>
      <c r="B734" s="1" t="s">
        <v>34</v>
      </c>
      <c r="C734" s="1" t="s">
        <v>26</v>
      </c>
      <c r="D734" s="1" t="s">
        <v>19</v>
      </c>
      <c r="E734" s="1" t="s">
        <v>28</v>
      </c>
      <c r="F734" s="1">
        <v>46</v>
      </c>
      <c r="G734" s="1" t="str" cm="1">
        <f t="array" ref="G734">_xlfn.IFS(F734&lt;=25,"YOUTH",F734&lt;=48,"ADULT",TRUE,"SENIOR")</f>
        <v>ADULT</v>
      </c>
      <c r="H734" s="1" t="s">
        <v>21</v>
      </c>
      <c r="I734" s="1" t="s">
        <v>33</v>
      </c>
      <c r="J734" s="1" t="s">
        <v>23</v>
      </c>
      <c r="K734" s="1" t="s">
        <v>31</v>
      </c>
      <c r="L734" s="1">
        <v>31788</v>
      </c>
      <c r="M734" s="3">
        <f t="shared" si="33"/>
        <v>0.14030451742796024</v>
      </c>
      <c r="N734" s="1">
        <v>4460</v>
      </c>
      <c r="O734" s="4">
        <f t="shared" si="34"/>
        <v>20.458715596330276</v>
      </c>
      <c r="P734" s="1">
        <v>218</v>
      </c>
      <c r="Q734" s="1">
        <v>1511.0078521059299</v>
      </c>
      <c r="R734" s="1">
        <v>12702.0418264978</v>
      </c>
      <c r="S734" s="5">
        <f t="shared" si="35"/>
        <v>12701.0418264978</v>
      </c>
      <c r="T734" s="1">
        <v>298</v>
      </c>
      <c r="U734" s="1">
        <v>19</v>
      </c>
      <c r="V734" s="1">
        <v>19</v>
      </c>
      <c r="W734" s="1">
        <v>421</v>
      </c>
      <c r="X734" s="1">
        <v>0.54777127522569402</v>
      </c>
    </row>
    <row r="735" spans="1:24" x14ac:dyDescent="0.3">
      <c r="A735" s="2">
        <v>45339</v>
      </c>
      <c r="B735" s="1" t="s">
        <v>40</v>
      </c>
      <c r="C735" s="1" t="s">
        <v>26</v>
      </c>
      <c r="D735" s="1" t="s">
        <v>19</v>
      </c>
      <c r="E735" s="1" t="s">
        <v>28</v>
      </c>
      <c r="F735" s="1">
        <v>21</v>
      </c>
      <c r="G735" s="1" t="str" cm="1">
        <f t="array" ref="G735">_xlfn.IFS(F735&lt;=25,"YOUTH",F735&lt;=48,"ADULT",TRUE,"SENIOR")</f>
        <v>YOUTH</v>
      </c>
      <c r="H735" s="1" t="s">
        <v>29</v>
      </c>
      <c r="I735" s="1" t="s">
        <v>43</v>
      </c>
      <c r="J735" s="1" t="s">
        <v>23</v>
      </c>
      <c r="K735" s="1" t="s">
        <v>31</v>
      </c>
      <c r="L735" s="1">
        <v>27623</v>
      </c>
      <c r="M735" s="3">
        <f t="shared" si="33"/>
        <v>2.5522209752742279E-2</v>
      </c>
      <c r="N735" s="1">
        <v>705</v>
      </c>
      <c r="O735" s="4">
        <f t="shared" si="34"/>
        <v>4.5192307692307692</v>
      </c>
      <c r="P735" s="1">
        <v>156</v>
      </c>
      <c r="Q735" s="1">
        <v>3608.7904645103099</v>
      </c>
      <c r="R735" s="1">
        <v>8500.4810641641598</v>
      </c>
      <c r="S735" s="5">
        <f t="shared" si="35"/>
        <v>8499.4810641641598</v>
      </c>
      <c r="T735" s="1">
        <v>592</v>
      </c>
      <c r="U735" s="1">
        <v>56</v>
      </c>
      <c r="V735" s="1">
        <v>58</v>
      </c>
      <c r="W735" s="1">
        <v>2415</v>
      </c>
      <c r="X735" s="1">
        <v>0.46667477813712599</v>
      </c>
    </row>
    <row r="736" spans="1:24" x14ac:dyDescent="0.3">
      <c r="A736" s="2">
        <v>45296</v>
      </c>
      <c r="B736" s="1" t="s">
        <v>25</v>
      </c>
      <c r="C736" s="1" t="s">
        <v>41</v>
      </c>
      <c r="D736" s="1" t="s">
        <v>19</v>
      </c>
      <c r="E736" s="1" t="s">
        <v>28</v>
      </c>
      <c r="F736" s="1">
        <v>27</v>
      </c>
      <c r="G736" s="1" t="str" cm="1">
        <f t="array" ref="G736">_xlfn.IFS(F736&lt;=25,"YOUTH",F736&lt;=48,"ADULT",TRUE,"SENIOR")</f>
        <v>ADULT</v>
      </c>
      <c r="H736" s="1" t="s">
        <v>21</v>
      </c>
      <c r="I736" s="1" t="s">
        <v>37</v>
      </c>
      <c r="J736" s="1" t="s">
        <v>23</v>
      </c>
      <c r="K736" s="1" t="s">
        <v>24</v>
      </c>
      <c r="L736" s="1">
        <v>23104</v>
      </c>
      <c r="M736" s="3">
        <f t="shared" si="33"/>
        <v>6.687153739612188E-2</v>
      </c>
      <c r="N736" s="1">
        <v>1545</v>
      </c>
      <c r="O736" s="4">
        <f t="shared" si="34"/>
        <v>7.2877358490566042</v>
      </c>
      <c r="P736" s="1">
        <v>212</v>
      </c>
      <c r="Q736" s="1">
        <v>1745.79774526664</v>
      </c>
      <c r="R736" s="1">
        <v>14674.2999230681</v>
      </c>
      <c r="S736" s="5">
        <f t="shared" si="35"/>
        <v>14673.2999230681</v>
      </c>
      <c r="T736" s="1">
        <v>678</v>
      </c>
      <c r="U736" s="1">
        <v>84</v>
      </c>
      <c r="V736" s="1">
        <v>26</v>
      </c>
      <c r="W736" s="1">
        <v>1232</v>
      </c>
      <c r="X736" s="1">
        <v>0.70735777465514904</v>
      </c>
    </row>
    <row r="737" spans="1:24" x14ac:dyDescent="0.3">
      <c r="A737" s="2">
        <v>45339</v>
      </c>
      <c r="B737" s="1" t="s">
        <v>34</v>
      </c>
      <c r="C737" s="1" t="s">
        <v>26</v>
      </c>
      <c r="D737" s="1" t="s">
        <v>19</v>
      </c>
      <c r="E737" s="1" t="s">
        <v>20</v>
      </c>
      <c r="F737" s="1">
        <v>34</v>
      </c>
      <c r="G737" s="1" t="str" cm="1">
        <f t="array" ref="G737">_xlfn.IFS(F737&lt;=25,"YOUTH",F737&lt;=48,"ADULT",TRUE,"SENIOR")</f>
        <v>ADULT</v>
      </c>
      <c r="H737" s="1" t="s">
        <v>21</v>
      </c>
      <c r="I737" s="1" t="s">
        <v>37</v>
      </c>
      <c r="J737" s="1" t="s">
        <v>23</v>
      </c>
      <c r="K737" s="1" t="s">
        <v>39</v>
      </c>
      <c r="L737" s="1">
        <v>1256</v>
      </c>
      <c r="M737" s="3">
        <f t="shared" si="33"/>
        <v>0.1178343949044586</v>
      </c>
      <c r="N737" s="1">
        <v>148</v>
      </c>
      <c r="O737" s="4">
        <f t="shared" si="34"/>
        <v>9.25</v>
      </c>
      <c r="P737" s="1">
        <v>16</v>
      </c>
      <c r="Q737" s="1">
        <v>182.191711464988</v>
      </c>
      <c r="R737" s="1">
        <v>88.408063591211302</v>
      </c>
      <c r="S737" s="5">
        <f t="shared" si="35"/>
        <v>87.408063591211302</v>
      </c>
      <c r="T737" s="1">
        <v>33</v>
      </c>
      <c r="U737" s="1">
        <v>2</v>
      </c>
      <c r="V737" s="1">
        <v>1</v>
      </c>
      <c r="W737" s="1">
        <v>50</v>
      </c>
      <c r="X737" s="1">
        <v>0.49707567238493</v>
      </c>
    </row>
    <row r="738" spans="1:24" x14ac:dyDescent="0.3">
      <c r="A738" s="2">
        <v>45323</v>
      </c>
      <c r="B738" s="1" t="s">
        <v>34</v>
      </c>
      <c r="C738" s="1" t="s">
        <v>18</v>
      </c>
      <c r="D738" s="1" t="s">
        <v>36</v>
      </c>
      <c r="E738" s="1" t="s">
        <v>20</v>
      </c>
      <c r="F738" s="1">
        <v>27</v>
      </c>
      <c r="G738" s="1" t="str" cm="1">
        <f t="array" ref="G738">_xlfn.IFS(F738&lt;=25,"YOUTH",F738&lt;=48,"ADULT",TRUE,"SENIOR")</f>
        <v>ADULT</v>
      </c>
      <c r="H738" s="1" t="s">
        <v>21</v>
      </c>
      <c r="I738" s="1" t="s">
        <v>22</v>
      </c>
      <c r="J738" s="1" t="s">
        <v>23</v>
      </c>
      <c r="K738" s="1" t="s">
        <v>31</v>
      </c>
      <c r="L738" s="1">
        <v>34439</v>
      </c>
      <c r="M738" s="3">
        <f t="shared" si="33"/>
        <v>7.0907982229449176E-2</v>
      </c>
      <c r="N738" s="1">
        <v>2442</v>
      </c>
      <c r="O738" s="4">
        <f t="shared" si="34"/>
        <v>17.568345323741006</v>
      </c>
      <c r="P738" s="1">
        <v>139</v>
      </c>
      <c r="Q738" s="1">
        <v>3925.2584134142198</v>
      </c>
      <c r="R738" s="1">
        <v>4647.7170981984</v>
      </c>
      <c r="S738" s="5">
        <f t="shared" si="35"/>
        <v>4646.7170981984</v>
      </c>
      <c r="T738" s="1">
        <v>914</v>
      </c>
      <c r="U738" s="1">
        <v>119</v>
      </c>
      <c r="V738" s="1">
        <v>37</v>
      </c>
      <c r="W738" s="1">
        <v>4370</v>
      </c>
      <c r="X738" s="1">
        <v>0.73569897312704802</v>
      </c>
    </row>
    <row r="739" spans="1:24" x14ac:dyDescent="0.3">
      <c r="A739" s="2">
        <v>45294</v>
      </c>
      <c r="B739" s="1" t="s">
        <v>25</v>
      </c>
      <c r="C739" s="1" t="s">
        <v>26</v>
      </c>
      <c r="D739" s="1" t="s">
        <v>27</v>
      </c>
      <c r="E739" s="1" t="s">
        <v>28</v>
      </c>
      <c r="F739" s="1">
        <v>34</v>
      </c>
      <c r="G739" s="1" t="str" cm="1">
        <f t="array" ref="G739">_xlfn.IFS(F739&lt;=25,"YOUTH",F739&lt;=48,"ADULT",TRUE,"SENIOR")</f>
        <v>ADULT</v>
      </c>
      <c r="H739" s="1" t="s">
        <v>21</v>
      </c>
      <c r="I739" s="1" t="s">
        <v>43</v>
      </c>
      <c r="J739" s="1" t="s">
        <v>23</v>
      </c>
      <c r="K739" s="1" t="s">
        <v>24</v>
      </c>
      <c r="L739" s="1">
        <v>34257</v>
      </c>
      <c r="M739" s="3">
        <f t="shared" si="33"/>
        <v>0.14254021075984472</v>
      </c>
      <c r="N739" s="1">
        <v>4883</v>
      </c>
      <c r="O739" s="4">
        <f t="shared" si="34"/>
        <v>5.5237556561085972</v>
      </c>
      <c r="P739" s="1">
        <v>884</v>
      </c>
      <c r="Q739" s="1">
        <v>3555.6439984689</v>
      </c>
      <c r="R739" s="1">
        <v>19132.316187172299</v>
      </c>
      <c r="S739" s="5">
        <f t="shared" si="35"/>
        <v>19131.316187172299</v>
      </c>
      <c r="T739" s="1">
        <v>971</v>
      </c>
      <c r="U739" s="1">
        <v>80</v>
      </c>
      <c r="V739" s="1">
        <v>40</v>
      </c>
      <c r="W739" s="1">
        <v>6819</v>
      </c>
      <c r="X739" s="1">
        <v>0.54493679336605205</v>
      </c>
    </row>
    <row r="740" spans="1:24" x14ac:dyDescent="0.3">
      <c r="A740" s="2">
        <v>45343</v>
      </c>
      <c r="B740" s="1" t="s">
        <v>34</v>
      </c>
      <c r="C740" s="1" t="s">
        <v>35</v>
      </c>
      <c r="D740" s="1" t="s">
        <v>27</v>
      </c>
      <c r="E740" s="1" t="s">
        <v>20</v>
      </c>
      <c r="F740" s="1">
        <v>37</v>
      </c>
      <c r="G740" s="1" t="str" cm="1">
        <f t="array" ref="G740">_xlfn.IFS(F740&lt;=25,"YOUTH",F740&lt;=48,"ADULT",TRUE,"SENIOR")</f>
        <v>ADULT</v>
      </c>
      <c r="H740" s="1" t="s">
        <v>21</v>
      </c>
      <c r="I740" s="1" t="s">
        <v>33</v>
      </c>
      <c r="J740" s="1" t="s">
        <v>23</v>
      </c>
      <c r="K740" s="1" t="s">
        <v>31</v>
      </c>
      <c r="L740" s="1">
        <v>40657</v>
      </c>
      <c r="M740" s="3">
        <f t="shared" si="33"/>
        <v>7.5460560297119811E-2</v>
      </c>
      <c r="N740" s="1">
        <v>3068</v>
      </c>
      <c r="O740" s="4">
        <f t="shared" si="34"/>
        <v>4.290909090909091</v>
      </c>
      <c r="P740" s="1">
        <v>715</v>
      </c>
      <c r="Q740" s="1">
        <v>4662.7833707269901</v>
      </c>
      <c r="R740" s="1">
        <v>9147.0451675579898</v>
      </c>
      <c r="S740" s="5">
        <f t="shared" si="35"/>
        <v>9146.0451675579898</v>
      </c>
      <c r="T740" s="1">
        <v>1111</v>
      </c>
      <c r="U740" s="1">
        <v>163</v>
      </c>
      <c r="V740" s="1">
        <v>58</v>
      </c>
      <c r="W740" s="1">
        <v>1779</v>
      </c>
      <c r="X740" s="1">
        <v>0.52702965236534305</v>
      </c>
    </row>
    <row r="741" spans="1:24" x14ac:dyDescent="0.3">
      <c r="A741" s="2">
        <v>45338</v>
      </c>
      <c r="B741" s="1" t="s">
        <v>25</v>
      </c>
      <c r="C741" s="1" t="s">
        <v>35</v>
      </c>
      <c r="D741" s="1" t="s">
        <v>27</v>
      </c>
      <c r="E741" s="1" t="s">
        <v>20</v>
      </c>
      <c r="F741" s="1">
        <v>41</v>
      </c>
      <c r="G741" s="1" t="str" cm="1">
        <f t="array" ref="G741">_xlfn.IFS(F741&lt;=25,"YOUTH",F741&lt;=48,"ADULT",TRUE,"SENIOR")</f>
        <v>ADULT</v>
      </c>
      <c r="H741" s="1" t="s">
        <v>29</v>
      </c>
      <c r="I741" s="1" t="s">
        <v>43</v>
      </c>
      <c r="J741" s="1" t="s">
        <v>38</v>
      </c>
      <c r="K741" s="1" t="s">
        <v>24</v>
      </c>
      <c r="L741" s="1">
        <v>45674</v>
      </c>
      <c r="M741" s="3">
        <f t="shared" si="33"/>
        <v>0.13248237509305075</v>
      </c>
      <c r="N741" s="1">
        <v>6051</v>
      </c>
      <c r="O741" s="4">
        <f t="shared" si="34"/>
        <v>9.4105754276827369</v>
      </c>
      <c r="P741" s="1">
        <v>643</v>
      </c>
      <c r="Q741" s="1">
        <v>3752.2384208754402</v>
      </c>
      <c r="R741" s="1">
        <v>41311.7831407474</v>
      </c>
      <c r="S741" s="5">
        <f t="shared" si="35"/>
        <v>41310.7831407474</v>
      </c>
      <c r="T741" s="1">
        <v>1114</v>
      </c>
      <c r="U741" s="1">
        <v>206</v>
      </c>
      <c r="V741" s="1">
        <v>84</v>
      </c>
      <c r="W741" s="1">
        <v>5198</v>
      </c>
      <c r="X741" s="1">
        <v>0.61954942074388997</v>
      </c>
    </row>
    <row r="742" spans="1:24" x14ac:dyDescent="0.3">
      <c r="A742" s="2">
        <v>45326</v>
      </c>
      <c r="B742" s="1" t="s">
        <v>34</v>
      </c>
      <c r="C742" s="1" t="s">
        <v>18</v>
      </c>
      <c r="D742" s="1" t="s">
        <v>32</v>
      </c>
      <c r="E742" s="1" t="s">
        <v>20</v>
      </c>
      <c r="F742" s="1">
        <v>22</v>
      </c>
      <c r="G742" s="1" t="str" cm="1">
        <f t="array" ref="G742">_xlfn.IFS(F742&lt;=25,"YOUTH",F742&lt;=48,"ADULT",TRUE,"SENIOR")</f>
        <v>YOUTH</v>
      </c>
      <c r="H742" s="1" t="s">
        <v>21</v>
      </c>
      <c r="I742" s="1" t="s">
        <v>37</v>
      </c>
      <c r="J742" s="1" t="s">
        <v>23</v>
      </c>
      <c r="K742" s="1" t="s">
        <v>31</v>
      </c>
      <c r="L742" s="1">
        <v>19066</v>
      </c>
      <c r="M742" s="3">
        <f t="shared" si="33"/>
        <v>0.12346585544949124</v>
      </c>
      <c r="N742" s="1">
        <v>2354</v>
      </c>
      <c r="O742" s="4">
        <f t="shared" si="34"/>
        <v>13.299435028248588</v>
      </c>
      <c r="P742" s="1">
        <v>177</v>
      </c>
      <c r="Q742" s="1">
        <v>1633.5642433496701</v>
      </c>
      <c r="R742" s="1">
        <v>12366.5535704308</v>
      </c>
      <c r="S742" s="5">
        <f t="shared" si="35"/>
        <v>12365.5535704308</v>
      </c>
      <c r="T742" s="1">
        <v>437</v>
      </c>
      <c r="U742" s="1">
        <v>27</v>
      </c>
      <c r="V742" s="1">
        <v>10</v>
      </c>
      <c r="W742" s="1">
        <v>624</v>
      </c>
      <c r="X742" s="1">
        <v>0.72625546665687002</v>
      </c>
    </row>
    <row r="743" spans="1:24" x14ac:dyDescent="0.3">
      <c r="A743" s="2">
        <v>45343</v>
      </c>
      <c r="B743" s="1" t="s">
        <v>25</v>
      </c>
      <c r="C743" s="1" t="s">
        <v>35</v>
      </c>
      <c r="D743" s="1" t="s">
        <v>19</v>
      </c>
      <c r="E743" s="1" t="s">
        <v>20</v>
      </c>
      <c r="F743" s="1">
        <v>51</v>
      </c>
      <c r="G743" s="1" t="str" cm="1">
        <f t="array" ref="G743">_xlfn.IFS(F743&lt;=25,"YOUTH",F743&lt;=48,"ADULT",TRUE,"SENIOR")</f>
        <v>SENIOR</v>
      </c>
      <c r="H743" s="1" t="s">
        <v>29</v>
      </c>
      <c r="I743" s="1" t="s">
        <v>37</v>
      </c>
      <c r="J743" s="1" t="s">
        <v>38</v>
      </c>
      <c r="K743" s="1" t="s">
        <v>31</v>
      </c>
      <c r="L743" s="1">
        <v>46371</v>
      </c>
      <c r="M743" s="3">
        <f t="shared" si="33"/>
        <v>0.14733346272454767</v>
      </c>
      <c r="N743" s="1">
        <v>6832</v>
      </c>
      <c r="O743" s="4">
        <f t="shared" si="34"/>
        <v>6.7777777777777777</v>
      </c>
      <c r="P743" s="1">
        <v>1008</v>
      </c>
      <c r="Q743" s="1">
        <v>6058.69389715956</v>
      </c>
      <c r="R743" s="1">
        <v>16872.663541917402</v>
      </c>
      <c r="S743" s="5">
        <f t="shared" si="35"/>
        <v>16871.663541917402</v>
      </c>
      <c r="T743" s="1">
        <v>538</v>
      </c>
      <c r="U743" s="1">
        <v>44</v>
      </c>
      <c r="V743" s="1">
        <v>51</v>
      </c>
      <c r="W743" s="1">
        <v>8694</v>
      </c>
      <c r="X743" s="1">
        <v>0.69992472012212203</v>
      </c>
    </row>
    <row r="744" spans="1:24" x14ac:dyDescent="0.3">
      <c r="A744" s="2">
        <v>45305</v>
      </c>
      <c r="B744" s="1" t="s">
        <v>40</v>
      </c>
      <c r="C744" s="1" t="s">
        <v>35</v>
      </c>
      <c r="D744" s="1" t="s">
        <v>19</v>
      </c>
      <c r="E744" s="1" t="s">
        <v>20</v>
      </c>
      <c r="F744" s="1">
        <v>23</v>
      </c>
      <c r="G744" s="1" t="str" cm="1">
        <f t="array" ref="G744">_xlfn.IFS(F744&lt;=25,"YOUTH",F744&lt;=48,"ADULT",TRUE,"SENIOR")</f>
        <v>YOUTH</v>
      </c>
      <c r="H744" s="1" t="s">
        <v>42</v>
      </c>
      <c r="I744" s="1" t="s">
        <v>22</v>
      </c>
      <c r="J744" s="1" t="s">
        <v>23</v>
      </c>
      <c r="K744" s="1" t="s">
        <v>31</v>
      </c>
      <c r="L744" s="1">
        <v>33746</v>
      </c>
      <c r="M744" s="3">
        <f t="shared" si="33"/>
        <v>0.13969063000059267</v>
      </c>
      <c r="N744" s="1">
        <v>4714</v>
      </c>
      <c r="O744" s="4">
        <f t="shared" si="34"/>
        <v>4.9258098223615461</v>
      </c>
      <c r="P744" s="1">
        <v>957</v>
      </c>
      <c r="Q744" s="1">
        <v>3662.13987168431</v>
      </c>
      <c r="R744" s="1">
        <v>7175.7491992088198</v>
      </c>
      <c r="S744" s="5">
        <f t="shared" si="35"/>
        <v>7174.7491992088198</v>
      </c>
      <c r="T744" s="1">
        <v>692</v>
      </c>
      <c r="U744" s="1">
        <v>122</v>
      </c>
      <c r="V744" s="1">
        <v>16</v>
      </c>
      <c r="W744" s="1">
        <v>2208</v>
      </c>
      <c r="X744" s="1">
        <v>0.53460396247923903</v>
      </c>
    </row>
    <row r="745" spans="1:24" x14ac:dyDescent="0.3">
      <c r="A745" s="2">
        <v>45339</v>
      </c>
      <c r="B745" s="1" t="s">
        <v>34</v>
      </c>
      <c r="C745" s="1" t="s">
        <v>41</v>
      </c>
      <c r="D745" s="1" t="s">
        <v>36</v>
      </c>
      <c r="E745" s="1" t="s">
        <v>20</v>
      </c>
      <c r="F745" s="1">
        <v>19</v>
      </c>
      <c r="G745" s="1" t="str" cm="1">
        <f t="array" ref="G745">_xlfn.IFS(F745&lt;=25,"YOUTH",F745&lt;=48,"ADULT",TRUE,"SENIOR")</f>
        <v>YOUTH</v>
      </c>
      <c r="H745" s="1" t="s">
        <v>21</v>
      </c>
      <c r="I745" s="1" t="s">
        <v>22</v>
      </c>
      <c r="J745" s="1" t="s">
        <v>23</v>
      </c>
      <c r="K745" s="1" t="s">
        <v>31</v>
      </c>
      <c r="L745" s="1">
        <v>3460</v>
      </c>
      <c r="M745" s="3">
        <f t="shared" si="33"/>
        <v>0.13554913294797688</v>
      </c>
      <c r="N745" s="1">
        <v>469</v>
      </c>
      <c r="O745" s="4">
        <f t="shared" si="34"/>
        <v>52.111111111111114</v>
      </c>
      <c r="P745" s="1">
        <v>9</v>
      </c>
      <c r="Q745" s="1">
        <v>472.78004767120001</v>
      </c>
      <c r="R745" s="1">
        <v>205.90685189309201</v>
      </c>
      <c r="S745" s="5">
        <f t="shared" si="35"/>
        <v>204.90685189309201</v>
      </c>
      <c r="T745" s="1">
        <v>62</v>
      </c>
      <c r="U745" s="1">
        <v>8</v>
      </c>
      <c r="V745" s="1">
        <v>5</v>
      </c>
      <c r="W745" s="1">
        <v>612</v>
      </c>
      <c r="X745" s="1">
        <v>0.89011417094935597</v>
      </c>
    </row>
    <row r="746" spans="1:24" x14ac:dyDescent="0.3">
      <c r="A746" s="2">
        <v>45322</v>
      </c>
      <c r="B746" s="1" t="s">
        <v>40</v>
      </c>
      <c r="C746" s="1" t="s">
        <v>18</v>
      </c>
      <c r="D746" s="1" t="s">
        <v>36</v>
      </c>
      <c r="E746" s="1" t="s">
        <v>20</v>
      </c>
      <c r="F746" s="1">
        <v>30</v>
      </c>
      <c r="G746" s="1" t="str" cm="1">
        <f t="array" ref="G746">_xlfn.IFS(F746&lt;=25,"YOUTH",F746&lt;=48,"ADULT",TRUE,"SENIOR")</f>
        <v>ADULT</v>
      </c>
      <c r="H746" s="1" t="s">
        <v>29</v>
      </c>
      <c r="I746" s="1" t="s">
        <v>37</v>
      </c>
      <c r="J746" s="1" t="s">
        <v>23</v>
      </c>
      <c r="K746" s="1" t="s">
        <v>31</v>
      </c>
      <c r="L746" s="1">
        <v>38297</v>
      </c>
      <c r="M746" s="3">
        <f t="shared" si="33"/>
        <v>0.11241089380369219</v>
      </c>
      <c r="N746" s="1">
        <v>4305</v>
      </c>
      <c r="O746" s="4">
        <f t="shared" si="34"/>
        <v>6.0548523206751055</v>
      </c>
      <c r="P746" s="1">
        <v>711</v>
      </c>
      <c r="Q746" s="1">
        <v>5201.01898361238</v>
      </c>
      <c r="R746" s="1">
        <v>42138.143543438397</v>
      </c>
      <c r="S746" s="5">
        <f t="shared" si="35"/>
        <v>42137.143543438397</v>
      </c>
      <c r="T746" s="1">
        <v>1016</v>
      </c>
      <c r="U746" s="1">
        <v>62</v>
      </c>
      <c r="V746" s="1">
        <v>93</v>
      </c>
      <c r="W746" s="1">
        <v>2442</v>
      </c>
      <c r="X746" s="1">
        <v>0.46043508335436001</v>
      </c>
    </row>
    <row r="747" spans="1:24" x14ac:dyDescent="0.3">
      <c r="A747" s="2">
        <v>45322</v>
      </c>
      <c r="B747" s="1" t="s">
        <v>34</v>
      </c>
      <c r="C747" s="1" t="s">
        <v>41</v>
      </c>
      <c r="D747" s="1" t="s">
        <v>32</v>
      </c>
      <c r="E747" s="1" t="s">
        <v>28</v>
      </c>
      <c r="F747" s="1">
        <v>28</v>
      </c>
      <c r="G747" s="1" t="str" cm="1">
        <f t="array" ref="G747">_xlfn.IFS(F747&lt;=25,"YOUTH",F747&lt;=48,"ADULT",TRUE,"SENIOR")</f>
        <v>ADULT</v>
      </c>
      <c r="H747" s="1" t="s">
        <v>29</v>
      </c>
      <c r="I747" s="1" t="s">
        <v>33</v>
      </c>
      <c r="J747" s="1" t="s">
        <v>23</v>
      </c>
      <c r="K747" s="1" t="s">
        <v>39</v>
      </c>
      <c r="L747" s="1">
        <v>35743</v>
      </c>
      <c r="M747" s="3">
        <f t="shared" si="33"/>
        <v>6.1354670844640906E-2</v>
      </c>
      <c r="N747" s="1">
        <v>2193</v>
      </c>
      <c r="O747" s="4">
        <f t="shared" si="34"/>
        <v>6.375</v>
      </c>
      <c r="P747" s="1">
        <v>344</v>
      </c>
      <c r="Q747" s="1">
        <v>5252.2088272896599</v>
      </c>
      <c r="R747" s="1">
        <v>8291.3822603367207</v>
      </c>
      <c r="S747" s="5">
        <f t="shared" si="35"/>
        <v>8290.3822603367207</v>
      </c>
      <c r="T747" s="1">
        <v>618</v>
      </c>
      <c r="U747" s="1">
        <v>75</v>
      </c>
      <c r="V747" s="1">
        <v>38</v>
      </c>
      <c r="W747" s="1">
        <v>5831</v>
      </c>
      <c r="X747" s="1">
        <v>0.42170715969088401</v>
      </c>
    </row>
    <row r="748" spans="1:24" x14ac:dyDescent="0.3">
      <c r="A748" s="2">
        <v>45308</v>
      </c>
      <c r="B748" s="1" t="s">
        <v>34</v>
      </c>
      <c r="C748" s="1" t="s">
        <v>41</v>
      </c>
      <c r="D748" s="1" t="s">
        <v>32</v>
      </c>
      <c r="E748" s="1" t="s">
        <v>28</v>
      </c>
      <c r="F748" s="1">
        <v>40</v>
      </c>
      <c r="G748" s="1" t="str" cm="1">
        <f t="array" ref="G748">_xlfn.IFS(F748&lt;=25,"YOUTH",F748&lt;=48,"ADULT",TRUE,"SENIOR")</f>
        <v>ADULT</v>
      </c>
      <c r="H748" s="1" t="s">
        <v>21</v>
      </c>
      <c r="I748" s="1" t="s">
        <v>33</v>
      </c>
      <c r="J748" s="1" t="s">
        <v>23</v>
      </c>
      <c r="K748" s="1" t="s">
        <v>24</v>
      </c>
      <c r="L748" s="1">
        <v>4216</v>
      </c>
      <c r="M748" s="3">
        <f t="shared" si="33"/>
        <v>2.4667931688804556E-2</v>
      </c>
      <c r="N748" s="1">
        <v>104</v>
      </c>
      <c r="O748" s="4">
        <f t="shared" si="34"/>
        <v>11.555555555555555</v>
      </c>
      <c r="P748" s="1">
        <v>9</v>
      </c>
      <c r="Q748" s="1">
        <v>468.09365021995001</v>
      </c>
      <c r="R748" s="1">
        <v>78.287366091108595</v>
      </c>
      <c r="S748" s="5">
        <f t="shared" si="35"/>
        <v>77.287366091108595</v>
      </c>
      <c r="T748" s="1">
        <v>34</v>
      </c>
      <c r="U748" s="1">
        <v>2</v>
      </c>
      <c r="V748" s="1">
        <v>1</v>
      </c>
      <c r="W748" s="1">
        <v>209</v>
      </c>
      <c r="X748" s="1">
        <v>0.73148844817340797</v>
      </c>
    </row>
    <row r="749" spans="1:24" x14ac:dyDescent="0.3">
      <c r="A749" s="2">
        <v>45351</v>
      </c>
      <c r="B749" s="1" t="s">
        <v>17</v>
      </c>
      <c r="C749" s="1" t="s">
        <v>26</v>
      </c>
      <c r="D749" s="1" t="s">
        <v>27</v>
      </c>
      <c r="E749" s="1" t="s">
        <v>28</v>
      </c>
      <c r="F749" s="1">
        <v>33</v>
      </c>
      <c r="G749" s="1" t="str" cm="1">
        <f t="array" ref="G749">_xlfn.IFS(F749&lt;=25,"YOUTH",F749&lt;=48,"ADULT",TRUE,"SENIOR")</f>
        <v>ADULT</v>
      </c>
      <c r="H749" s="1" t="s">
        <v>29</v>
      </c>
      <c r="I749" s="1" t="s">
        <v>43</v>
      </c>
      <c r="J749" s="1" t="s">
        <v>23</v>
      </c>
      <c r="K749" s="1" t="s">
        <v>39</v>
      </c>
      <c r="L749" s="1">
        <v>15267</v>
      </c>
      <c r="M749" s="3">
        <f t="shared" si="33"/>
        <v>0.10637322329206786</v>
      </c>
      <c r="N749" s="1">
        <v>1624</v>
      </c>
      <c r="O749" s="4">
        <f t="shared" si="34"/>
        <v>8.0796019900497509</v>
      </c>
      <c r="P749" s="1">
        <v>201</v>
      </c>
      <c r="Q749" s="1">
        <v>1302.26324206043</v>
      </c>
      <c r="R749" s="1">
        <v>1690.8103833463299</v>
      </c>
      <c r="S749" s="5">
        <f t="shared" si="35"/>
        <v>1689.8103833463299</v>
      </c>
      <c r="T749" s="1">
        <v>78</v>
      </c>
      <c r="U749" s="1">
        <v>6</v>
      </c>
      <c r="V749" s="1">
        <v>5</v>
      </c>
      <c r="W749" s="1">
        <v>1001</v>
      </c>
      <c r="X749" s="1">
        <v>0.46787394243601199</v>
      </c>
    </row>
    <row r="750" spans="1:24" x14ac:dyDescent="0.3">
      <c r="A750" s="2">
        <v>45315</v>
      </c>
      <c r="B750" s="1" t="s">
        <v>25</v>
      </c>
      <c r="C750" s="1" t="s">
        <v>18</v>
      </c>
      <c r="D750" s="1" t="s">
        <v>36</v>
      </c>
      <c r="E750" s="1" t="s">
        <v>28</v>
      </c>
      <c r="F750" s="1">
        <v>48</v>
      </c>
      <c r="G750" s="1" t="str" cm="1">
        <f t="array" ref="G750">_xlfn.IFS(F750&lt;=25,"YOUTH",F750&lt;=48,"ADULT",TRUE,"SENIOR")</f>
        <v>ADULT</v>
      </c>
      <c r="H750" s="1" t="s">
        <v>29</v>
      </c>
      <c r="I750" s="1" t="s">
        <v>37</v>
      </c>
      <c r="J750" s="1" t="s">
        <v>23</v>
      </c>
      <c r="K750" s="1" t="s">
        <v>31</v>
      </c>
      <c r="L750" s="1">
        <v>10581</v>
      </c>
      <c r="M750" s="3">
        <f t="shared" si="33"/>
        <v>0.14696153482657595</v>
      </c>
      <c r="N750" s="1">
        <v>1555</v>
      </c>
      <c r="O750" s="4">
        <f t="shared" si="34"/>
        <v>13.067226890756302</v>
      </c>
      <c r="P750" s="1">
        <v>119</v>
      </c>
      <c r="Q750" s="1">
        <v>440.38673298859902</v>
      </c>
      <c r="R750" s="1">
        <v>3901.1153763275902</v>
      </c>
      <c r="S750" s="5">
        <f t="shared" si="35"/>
        <v>3900.1153763275902</v>
      </c>
      <c r="T750" s="1">
        <v>232</v>
      </c>
      <c r="U750" s="1">
        <v>44</v>
      </c>
      <c r="V750" s="1">
        <v>16</v>
      </c>
      <c r="W750" s="1">
        <v>492</v>
      </c>
      <c r="X750" s="1">
        <v>0.67768994785342795</v>
      </c>
    </row>
    <row r="751" spans="1:24" x14ac:dyDescent="0.3">
      <c r="A751" s="2">
        <v>45343</v>
      </c>
      <c r="B751" s="1" t="s">
        <v>40</v>
      </c>
      <c r="C751" s="1" t="s">
        <v>26</v>
      </c>
      <c r="D751" s="1" t="s">
        <v>19</v>
      </c>
      <c r="E751" s="1" t="s">
        <v>28</v>
      </c>
      <c r="F751" s="1">
        <v>28</v>
      </c>
      <c r="G751" s="1" t="str" cm="1">
        <f t="array" ref="G751">_xlfn.IFS(F751&lt;=25,"YOUTH",F751&lt;=48,"ADULT",TRUE,"SENIOR")</f>
        <v>ADULT</v>
      </c>
      <c r="H751" s="1" t="s">
        <v>21</v>
      </c>
      <c r="I751" s="1" t="s">
        <v>37</v>
      </c>
      <c r="J751" s="1" t="s">
        <v>23</v>
      </c>
      <c r="K751" s="1" t="s">
        <v>39</v>
      </c>
      <c r="L751" s="1">
        <v>5515</v>
      </c>
      <c r="M751" s="3">
        <f t="shared" si="33"/>
        <v>0.11169537624660018</v>
      </c>
      <c r="N751" s="1">
        <v>616</v>
      </c>
      <c r="O751" s="4">
        <f t="shared" si="34"/>
        <v>4.967741935483871</v>
      </c>
      <c r="P751" s="1">
        <v>124</v>
      </c>
      <c r="Q751" s="1">
        <v>616.02259223921499</v>
      </c>
      <c r="R751" s="1">
        <v>8130.5153278766502</v>
      </c>
      <c r="S751" s="5">
        <f t="shared" si="35"/>
        <v>8129.5153278766502</v>
      </c>
      <c r="T751" s="1">
        <v>103</v>
      </c>
      <c r="U751" s="1">
        <v>16</v>
      </c>
      <c r="V751" s="1">
        <v>9</v>
      </c>
      <c r="W751" s="1">
        <v>332</v>
      </c>
      <c r="X751" s="1">
        <v>0.92347530642529696</v>
      </c>
    </row>
    <row r="752" spans="1:24" x14ac:dyDescent="0.3">
      <c r="A752" s="2">
        <v>45314</v>
      </c>
      <c r="B752" s="1" t="s">
        <v>40</v>
      </c>
      <c r="C752" s="1" t="s">
        <v>26</v>
      </c>
      <c r="D752" s="1" t="s">
        <v>27</v>
      </c>
      <c r="E752" s="1" t="s">
        <v>28</v>
      </c>
      <c r="F752" s="1">
        <v>33</v>
      </c>
      <c r="G752" s="1" t="str" cm="1">
        <f t="array" ref="G752">_xlfn.IFS(F752&lt;=25,"YOUTH",F752&lt;=48,"ADULT",TRUE,"SENIOR")</f>
        <v>ADULT</v>
      </c>
      <c r="H752" s="1" t="s">
        <v>21</v>
      </c>
      <c r="I752" s="1" t="s">
        <v>33</v>
      </c>
      <c r="J752" s="1" t="s">
        <v>23</v>
      </c>
      <c r="K752" s="1" t="s">
        <v>31</v>
      </c>
      <c r="L752" s="1">
        <v>23076</v>
      </c>
      <c r="M752" s="3">
        <f t="shared" si="33"/>
        <v>0.14001560062402496</v>
      </c>
      <c r="N752" s="1">
        <v>3231</v>
      </c>
      <c r="O752" s="4">
        <f t="shared" si="34"/>
        <v>6.0279850746268657</v>
      </c>
      <c r="P752" s="1">
        <v>536</v>
      </c>
      <c r="Q752" s="1">
        <v>1336.2181609537799</v>
      </c>
      <c r="R752" s="1">
        <v>12641.4681867247</v>
      </c>
      <c r="S752" s="5">
        <f t="shared" si="35"/>
        <v>12640.4681867247</v>
      </c>
      <c r="T752" s="1">
        <v>306</v>
      </c>
      <c r="U752" s="1">
        <v>47</v>
      </c>
      <c r="V752" s="1">
        <v>19</v>
      </c>
      <c r="W752" s="1">
        <v>3891</v>
      </c>
      <c r="X752" s="1">
        <v>0.78421914929903402</v>
      </c>
    </row>
    <row r="753" spans="1:24" x14ac:dyDescent="0.3">
      <c r="A753" s="2">
        <v>45309</v>
      </c>
      <c r="B753" s="1" t="s">
        <v>40</v>
      </c>
      <c r="C753" s="1" t="s">
        <v>41</v>
      </c>
      <c r="D753" s="1" t="s">
        <v>19</v>
      </c>
      <c r="E753" s="1" t="s">
        <v>28</v>
      </c>
      <c r="F753" s="1">
        <v>25</v>
      </c>
      <c r="G753" s="1" t="str" cm="1">
        <f t="array" ref="G753">_xlfn.IFS(F753&lt;=25,"YOUTH",F753&lt;=48,"ADULT",TRUE,"SENIOR")</f>
        <v>YOUTH</v>
      </c>
      <c r="H753" s="1" t="s">
        <v>21</v>
      </c>
      <c r="I753" s="1" t="s">
        <v>33</v>
      </c>
      <c r="J753" s="1" t="s">
        <v>30</v>
      </c>
      <c r="K753" s="1" t="s">
        <v>31</v>
      </c>
      <c r="L753" s="1">
        <v>45816</v>
      </c>
      <c r="M753" s="3">
        <f t="shared" si="33"/>
        <v>0.12259909202025493</v>
      </c>
      <c r="N753" s="1">
        <v>5617</v>
      </c>
      <c r="O753" s="4">
        <f t="shared" si="34"/>
        <v>7.0212500000000002</v>
      </c>
      <c r="P753" s="1">
        <v>800</v>
      </c>
      <c r="Q753" s="1">
        <v>2601.5783510357801</v>
      </c>
      <c r="R753" s="1">
        <v>26212.199396454202</v>
      </c>
      <c r="S753" s="5">
        <f t="shared" si="35"/>
        <v>26211.199396454202</v>
      </c>
      <c r="T753" s="1">
        <v>422</v>
      </c>
      <c r="U753" s="1">
        <v>36</v>
      </c>
      <c r="V753" s="1">
        <v>22</v>
      </c>
      <c r="W753" s="1">
        <v>6020</v>
      </c>
      <c r="X753" s="1">
        <v>0.73960111921876803</v>
      </c>
    </row>
    <row r="754" spans="1:24" x14ac:dyDescent="0.3">
      <c r="A754" s="2">
        <v>45341</v>
      </c>
      <c r="B754" s="1" t="s">
        <v>25</v>
      </c>
      <c r="C754" s="1" t="s">
        <v>35</v>
      </c>
      <c r="D754" s="1" t="s">
        <v>27</v>
      </c>
      <c r="E754" s="1" t="s">
        <v>28</v>
      </c>
      <c r="F754" s="1">
        <v>21</v>
      </c>
      <c r="G754" s="1" t="str" cm="1">
        <f t="array" ref="G754">_xlfn.IFS(F754&lt;=25,"YOUTH",F754&lt;=48,"ADULT",TRUE,"SENIOR")</f>
        <v>YOUTH</v>
      </c>
      <c r="H754" s="1" t="s">
        <v>42</v>
      </c>
      <c r="I754" s="1" t="s">
        <v>37</v>
      </c>
      <c r="J754" s="1" t="s">
        <v>38</v>
      </c>
      <c r="K754" s="1" t="s">
        <v>39</v>
      </c>
      <c r="L754" s="1">
        <v>10776</v>
      </c>
      <c r="M754" s="3">
        <f t="shared" si="33"/>
        <v>3.2757980697847071E-2</v>
      </c>
      <c r="N754" s="1">
        <v>353</v>
      </c>
      <c r="O754" s="4">
        <f t="shared" si="34"/>
        <v>9.2894736842105257</v>
      </c>
      <c r="P754" s="1">
        <v>38</v>
      </c>
      <c r="Q754" s="1">
        <v>549.332580270569</v>
      </c>
      <c r="R754" s="1">
        <v>441.77649929504298</v>
      </c>
      <c r="S754" s="5">
        <f t="shared" si="35"/>
        <v>440.77649929504298</v>
      </c>
      <c r="T754" s="1">
        <v>179</v>
      </c>
      <c r="U754" s="1">
        <v>12</v>
      </c>
      <c r="V754" s="1">
        <v>15</v>
      </c>
      <c r="W754" s="1">
        <v>938</v>
      </c>
      <c r="X754" s="1">
        <v>0.71614287367975404</v>
      </c>
    </row>
    <row r="755" spans="1:24" x14ac:dyDescent="0.3">
      <c r="A755" s="2">
        <v>45345</v>
      </c>
      <c r="B755" s="1" t="s">
        <v>17</v>
      </c>
      <c r="C755" s="1" t="s">
        <v>18</v>
      </c>
      <c r="D755" s="1" t="s">
        <v>19</v>
      </c>
      <c r="E755" s="1" t="s">
        <v>28</v>
      </c>
      <c r="F755" s="1">
        <v>57</v>
      </c>
      <c r="G755" s="1" t="str" cm="1">
        <f t="array" ref="G755">_xlfn.IFS(F755&lt;=25,"YOUTH",F755&lt;=48,"ADULT",TRUE,"SENIOR")</f>
        <v>SENIOR</v>
      </c>
      <c r="H755" s="1" t="s">
        <v>21</v>
      </c>
      <c r="I755" s="1" t="s">
        <v>22</v>
      </c>
      <c r="J755" s="1" t="s">
        <v>38</v>
      </c>
      <c r="K755" s="1" t="s">
        <v>39</v>
      </c>
      <c r="L755" s="1">
        <v>22947</v>
      </c>
      <c r="M755" s="3">
        <f t="shared" si="33"/>
        <v>4.4886041748376695E-2</v>
      </c>
      <c r="N755" s="1">
        <v>1030</v>
      </c>
      <c r="O755" s="4">
        <f t="shared" si="34"/>
        <v>11.573033707865168</v>
      </c>
      <c r="P755" s="1">
        <v>89</v>
      </c>
      <c r="Q755" s="1">
        <v>3069.5253605056801</v>
      </c>
      <c r="R755" s="1">
        <v>3300.3186090610502</v>
      </c>
      <c r="S755" s="5">
        <f t="shared" si="35"/>
        <v>3299.3186090610502</v>
      </c>
      <c r="T755" s="1">
        <v>172</v>
      </c>
      <c r="U755" s="1">
        <v>31</v>
      </c>
      <c r="V755" s="1">
        <v>16</v>
      </c>
      <c r="W755" s="1">
        <v>4465</v>
      </c>
      <c r="X755" s="1">
        <v>0.49874658870977601</v>
      </c>
    </row>
    <row r="756" spans="1:24" x14ac:dyDescent="0.3">
      <c r="A756" s="2">
        <v>45305</v>
      </c>
      <c r="B756" s="1" t="s">
        <v>40</v>
      </c>
      <c r="C756" s="1" t="s">
        <v>35</v>
      </c>
      <c r="D756" s="1" t="s">
        <v>32</v>
      </c>
      <c r="E756" s="1" t="s">
        <v>20</v>
      </c>
      <c r="F756" s="1">
        <v>21</v>
      </c>
      <c r="G756" s="1" t="str" cm="1">
        <f t="array" ref="G756">_xlfn.IFS(F756&lt;=25,"YOUTH",F756&lt;=48,"ADULT",TRUE,"SENIOR")</f>
        <v>YOUTH</v>
      </c>
      <c r="H756" s="1" t="s">
        <v>21</v>
      </c>
      <c r="I756" s="1" t="s">
        <v>37</v>
      </c>
      <c r="J756" s="1" t="s">
        <v>23</v>
      </c>
      <c r="K756" s="1" t="s">
        <v>31</v>
      </c>
      <c r="L756" s="1">
        <v>3963</v>
      </c>
      <c r="M756" s="3">
        <f t="shared" si="33"/>
        <v>5.7784506686853393E-2</v>
      </c>
      <c r="N756" s="1">
        <v>229</v>
      </c>
      <c r="O756" s="4">
        <f t="shared" si="34"/>
        <v>4.8723404255319149</v>
      </c>
      <c r="P756" s="1">
        <v>47</v>
      </c>
      <c r="Q756" s="1">
        <v>526.42660330000001</v>
      </c>
      <c r="R756" s="1">
        <v>2362.95128139282</v>
      </c>
      <c r="S756" s="5">
        <f t="shared" si="35"/>
        <v>2361.95128139282</v>
      </c>
      <c r="T756" s="1">
        <v>53</v>
      </c>
      <c r="U756" s="1">
        <v>2</v>
      </c>
      <c r="V756" s="1">
        <v>3</v>
      </c>
      <c r="W756" s="1">
        <v>389</v>
      </c>
      <c r="X756" s="1">
        <v>0.63795630354545696</v>
      </c>
    </row>
    <row r="757" spans="1:24" x14ac:dyDescent="0.3">
      <c r="A757" s="2">
        <v>45341</v>
      </c>
      <c r="B757" s="1" t="s">
        <v>25</v>
      </c>
      <c r="C757" s="1" t="s">
        <v>41</v>
      </c>
      <c r="D757" s="1" t="s">
        <v>27</v>
      </c>
      <c r="E757" s="1" t="s">
        <v>20</v>
      </c>
      <c r="F757" s="1">
        <v>42</v>
      </c>
      <c r="G757" s="1" t="str" cm="1">
        <f t="array" ref="G757">_xlfn.IFS(F757&lt;=25,"YOUTH",F757&lt;=48,"ADULT",TRUE,"SENIOR")</f>
        <v>ADULT</v>
      </c>
      <c r="H757" s="1" t="s">
        <v>29</v>
      </c>
      <c r="I757" s="1" t="s">
        <v>37</v>
      </c>
      <c r="J757" s="1" t="s">
        <v>38</v>
      </c>
      <c r="K757" s="1" t="s">
        <v>31</v>
      </c>
      <c r="L757" s="1">
        <v>7786</v>
      </c>
      <c r="M757" s="3">
        <f t="shared" si="33"/>
        <v>3.3521705625481631E-2</v>
      </c>
      <c r="N757" s="1">
        <v>261</v>
      </c>
      <c r="O757" s="4">
        <f t="shared" si="34"/>
        <v>8.15625</v>
      </c>
      <c r="P757" s="1">
        <v>32</v>
      </c>
      <c r="Q757" s="1">
        <v>794.37566488857499</v>
      </c>
      <c r="R757" s="1">
        <v>723.99275124861595</v>
      </c>
      <c r="S757" s="5">
        <f t="shared" si="35"/>
        <v>722.99275124861595</v>
      </c>
      <c r="T757" s="1">
        <v>112</v>
      </c>
      <c r="U757" s="1">
        <v>12</v>
      </c>
      <c r="V757" s="1">
        <v>10</v>
      </c>
      <c r="W757" s="1">
        <v>1512</v>
      </c>
      <c r="X757" s="1">
        <v>0.58838792905171899</v>
      </c>
    </row>
    <row r="758" spans="1:24" x14ac:dyDescent="0.3">
      <c r="A758" s="2">
        <v>45306</v>
      </c>
      <c r="B758" s="1" t="s">
        <v>34</v>
      </c>
      <c r="C758" s="1" t="s">
        <v>41</v>
      </c>
      <c r="D758" s="1" t="s">
        <v>19</v>
      </c>
      <c r="E758" s="1" t="s">
        <v>28</v>
      </c>
      <c r="F758" s="1">
        <v>20</v>
      </c>
      <c r="G758" s="1" t="str" cm="1">
        <f t="array" ref="G758">_xlfn.IFS(F758&lt;=25,"YOUTH",F758&lt;=48,"ADULT",TRUE,"SENIOR")</f>
        <v>YOUTH</v>
      </c>
      <c r="H758" s="1" t="s">
        <v>21</v>
      </c>
      <c r="I758" s="1" t="s">
        <v>33</v>
      </c>
      <c r="J758" s="1" t="s">
        <v>38</v>
      </c>
      <c r="K758" s="1" t="s">
        <v>24</v>
      </c>
      <c r="L758" s="1">
        <v>14866</v>
      </c>
      <c r="M758" s="3">
        <f t="shared" si="33"/>
        <v>9.1416655455401591E-2</v>
      </c>
      <c r="N758" s="1">
        <v>1359</v>
      </c>
      <c r="O758" s="4">
        <f t="shared" si="34"/>
        <v>7.4262295081967213</v>
      </c>
      <c r="P758" s="1">
        <v>183</v>
      </c>
      <c r="Q758" s="1">
        <v>1211.39358497745</v>
      </c>
      <c r="R758" s="1">
        <v>4444.3810149486999</v>
      </c>
      <c r="S758" s="5">
        <f t="shared" si="35"/>
        <v>4443.3810149486999</v>
      </c>
      <c r="T758" s="1">
        <v>247</v>
      </c>
      <c r="U758" s="1">
        <v>22</v>
      </c>
      <c r="V758" s="1">
        <v>16</v>
      </c>
      <c r="W758" s="1">
        <v>703</v>
      </c>
      <c r="X758" s="1">
        <v>0.924190877222134</v>
      </c>
    </row>
    <row r="759" spans="1:24" x14ac:dyDescent="0.3">
      <c r="A759" s="2">
        <v>45306</v>
      </c>
      <c r="B759" s="1" t="s">
        <v>40</v>
      </c>
      <c r="C759" s="1" t="s">
        <v>41</v>
      </c>
      <c r="D759" s="1" t="s">
        <v>19</v>
      </c>
      <c r="E759" s="1" t="s">
        <v>20</v>
      </c>
      <c r="F759" s="1">
        <v>49</v>
      </c>
      <c r="G759" s="1" t="str" cm="1">
        <f t="array" ref="G759">_xlfn.IFS(F759&lt;=25,"YOUTH",F759&lt;=48,"ADULT",TRUE,"SENIOR")</f>
        <v>SENIOR</v>
      </c>
      <c r="H759" s="1" t="s">
        <v>29</v>
      </c>
      <c r="I759" s="1" t="s">
        <v>33</v>
      </c>
      <c r="J759" s="1" t="s">
        <v>23</v>
      </c>
      <c r="K759" s="1" t="s">
        <v>31</v>
      </c>
      <c r="L759" s="1">
        <v>39968</v>
      </c>
      <c r="M759" s="3">
        <f t="shared" si="33"/>
        <v>0.14654223378702963</v>
      </c>
      <c r="N759" s="1">
        <v>5857</v>
      </c>
      <c r="O759" s="4">
        <f t="shared" si="34"/>
        <v>7.1601466992665035</v>
      </c>
      <c r="P759" s="1">
        <v>818</v>
      </c>
      <c r="Q759" s="1">
        <v>4291.5591963597399</v>
      </c>
      <c r="R759" s="1">
        <v>48857.812100851399</v>
      </c>
      <c r="S759" s="5">
        <f t="shared" si="35"/>
        <v>48856.812100851399</v>
      </c>
      <c r="T759" s="1">
        <v>666</v>
      </c>
      <c r="U759" s="1">
        <v>90</v>
      </c>
      <c r="V759" s="1">
        <v>50</v>
      </c>
      <c r="W759" s="1">
        <v>7269</v>
      </c>
      <c r="X759" s="1">
        <v>0.53327612725389795</v>
      </c>
    </row>
    <row r="760" spans="1:24" x14ac:dyDescent="0.3">
      <c r="A760" s="2">
        <v>45297</v>
      </c>
      <c r="B760" s="1" t="s">
        <v>40</v>
      </c>
      <c r="C760" s="1" t="s">
        <v>41</v>
      </c>
      <c r="D760" s="1" t="s">
        <v>36</v>
      </c>
      <c r="E760" s="1" t="s">
        <v>20</v>
      </c>
      <c r="F760" s="1">
        <v>20</v>
      </c>
      <c r="G760" s="1" t="str" cm="1">
        <f t="array" ref="G760">_xlfn.IFS(F760&lt;=25,"YOUTH",F760&lt;=48,"ADULT",TRUE,"SENIOR")</f>
        <v>YOUTH</v>
      </c>
      <c r="H760" s="1" t="s">
        <v>42</v>
      </c>
      <c r="I760" s="1" t="s">
        <v>22</v>
      </c>
      <c r="J760" s="1" t="s">
        <v>30</v>
      </c>
      <c r="K760" s="1" t="s">
        <v>31</v>
      </c>
      <c r="L760" s="1">
        <v>33305</v>
      </c>
      <c r="M760" s="3">
        <f t="shared" si="33"/>
        <v>0.11658910073562528</v>
      </c>
      <c r="N760" s="1">
        <v>3883</v>
      </c>
      <c r="O760" s="4">
        <f t="shared" si="34"/>
        <v>8.1234309623430967</v>
      </c>
      <c r="P760" s="1">
        <v>478</v>
      </c>
      <c r="Q760" s="1">
        <v>3295.1909894844198</v>
      </c>
      <c r="R760" s="1">
        <v>2712.0008533267901</v>
      </c>
      <c r="S760" s="5">
        <f t="shared" si="35"/>
        <v>2711.0008533267901</v>
      </c>
      <c r="T760" s="1">
        <v>380</v>
      </c>
      <c r="U760" s="1">
        <v>33</v>
      </c>
      <c r="V760" s="1">
        <v>28</v>
      </c>
      <c r="W760" s="1">
        <v>420</v>
      </c>
      <c r="X760" s="1">
        <v>0.65933400426782796</v>
      </c>
    </row>
    <row r="761" spans="1:24" x14ac:dyDescent="0.3">
      <c r="A761" s="2">
        <v>45318</v>
      </c>
      <c r="B761" s="1" t="s">
        <v>17</v>
      </c>
      <c r="C761" s="1" t="s">
        <v>41</v>
      </c>
      <c r="D761" s="1" t="s">
        <v>27</v>
      </c>
      <c r="E761" s="1" t="s">
        <v>28</v>
      </c>
      <c r="F761" s="1">
        <v>44</v>
      </c>
      <c r="G761" s="1" t="str" cm="1">
        <f t="array" ref="G761">_xlfn.IFS(F761&lt;=25,"YOUTH",F761&lt;=48,"ADULT",TRUE,"SENIOR")</f>
        <v>ADULT</v>
      </c>
      <c r="H761" s="1" t="s">
        <v>21</v>
      </c>
      <c r="I761" s="1" t="s">
        <v>22</v>
      </c>
      <c r="J761" s="1" t="s">
        <v>23</v>
      </c>
      <c r="K761" s="1" t="s">
        <v>39</v>
      </c>
      <c r="L761" s="1">
        <v>18360</v>
      </c>
      <c r="M761" s="3">
        <f t="shared" si="33"/>
        <v>6.9226579520697162E-2</v>
      </c>
      <c r="N761" s="1">
        <v>1271</v>
      </c>
      <c r="O761" s="4">
        <f t="shared" si="34"/>
        <v>12.71</v>
      </c>
      <c r="P761" s="1">
        <v>100</v>
      </c>
      <c r="Q761" s="1">
        <v>1359.4745038982601</v>
      </c>
      <c r="R761" s="1">
        <v>4637.0596055756296</v>
      </c>
      <c r="S761" s="5">
        <f t="shared" si="35"/>
        <v>4636.0596055756296</v>
      </c>
      <c r="T761" s="1">
        <v>482</v>
      </c>
      <c r="U761" s="1">
        <v>46</v>
      </c>
      <c r="V761" s="1">
        <v>36</v>
      </c>
      <c r="W761" s="1">
        <v>2085</v>
      </c>
      <c r="X761" s="1">
        <v>0.91594364980193699</v>
      </c>
    </row>
    <row r="762" spans="1:24" x14ac:dyDescent="0.3">
      <c r="A762" s="2">
        <v>45306</v>
      </c>
      <c r="B762" s="1" t="s">
        <v>40</v>
      </c>
      <c r="C762" s="1" t="s">
        <v>41</v>
      </c>
      <c r="D762" s="1" t="s">
        <v>19</v>
      </c>
      <c r="E762" s="1" t="s">
        <v>28</v>
      </c>
      <c r="F762" s="1">
        <v>46</v>
      </c>
      <c r="G762" s="1" t="str" cm="1">
        <f t="array" ref="G762">_xlfn.IFS(F762&lt;=25,"YOUTH",F762&lt;=48,"ADULT",TRUE,"SENIOR")</f>
        <v>ADULT</v>
      </c>
      <c r="H762" s="1" t="s">
        <v>21</v>
      </c>
      <c r="I762" s="1" t="s">
        <v>43</v>
      </c>
      <c r="J762" s="1" t="s">
        <v>38</v>
      </c>
      <c r="K762" s="1" t="s">
        <v>31</v>
      </c>
      <c r="L762" s="1">
        <v>41113</v>
      </c>
      <c r="M762" s="3">
        <f t="shared" si="33"/>
        <v>1.0629241359180794E-2</v>
      </c>
      <c r="N762" s="1">
        <v>437</v>
      </c>
      <c r="O762" s="4">
        <f t="shared" si="34"/>
        <v>21.85</v>
      </c>
      <c r="P762" s="1">
        <v>20</v>
      </c>
      <c r="Q762" s="1">
        <v>2851.26930114179</v>
      </c>
      <c r="R762" s="1">
        <v>612.05002539999998</v>
      </c>
      <c r="S762" s="5">
        <f t="shared" si="35"/>
        <v>611.05002539999998</v>
      </c>
      <c r="T762" s="1">
        <v>571</v>
      </c>
      <c r="U762" s="1">
        <v>101</v>
      </c>
      <c r="V762" s="1">
        <v>26</v>
      </c>
      <c r="W762" s="1">
        <v>3715</v>
      </c>
      <c r="X762" s="1">
        <v>0.83404935884162301</v>
      </c>
    </row>
    <row r="763" spans="1:24" x14ac:dyDescent="0.3">
      <c r="A763" s="2">
        <v>45341</v>
      </c>
      <c r="B763" s="1" t="s">
        <v>40</v>
      </c>
      <c r="C763" s="1" t="s">
        <v>35</v>
      </c>
      <c r="D763" s="1" t="s">
        <v>36</v>
      </c>
      <c r="E763" s="1" t="s">
        <v>28</v>
      </c>
      <c r="F763" s="1">
        <v>49</v>
      </c>
      <c r="G763" s="1" t="str" cm="1">
        <f t="array" ref="G763">_xlfn.IFS(F763&lt;=25,"YOUTH",F763&lt;=48,"ADULT",TRUE,"SENIOR")</f>
        <v>SENIOR</v>
      </c>
      <c r="H763" s="1" t="s">
        <v>29</v>
      </c>
      <c r="I763" s="1" t="s">
        <v>37</v>
      </c>
      <c r="J763" s="1" t="s">
        <v>38</v>
      </c>
      <c r="K763" s="1" t="s">
        <v>31</v>
      </c>
      <c r="L763" s="1">
        <v>33813</v>
      </c>
      <c r="M763" s="3">
        <f t="shared" si="33"/>
        <v>5.3855026173365274E-2</v>
      </c>
      <c r="N763" s="1">
        <v>1821</v>
      </c>
      <c r="O763" s="4">
        <f t="shared" si="34"/>
        <v>23.649350649350648</v>
      </c>
      <c r="P763" s="1">
        <v>77</v>
      </c>
      <c r="Q763" s="1">
        <v>2358.9051123714298</v>
      </c>
      <c r="R763" s="1">
        <v>1878.3944703751499</v>
      </c>
      <c r="S763" s="5">
        <f t="shared" si="35"/>
        <v>1877.3944703751499</v>
      </c>
      <c r="T763" s="1">
        <v>363</v>
      </c>
      <c r="U763" s="1">
        <v>50</v>
      </c>
      <c r="V763" s="1">
        <v>23</v>
      </c>
      <c r="W763" s="1">
        <v>3711</v>
      </c>
      <c r="X763" s="1">
        <v>0.93048338160643196</v>
      </c>
    </row>
    <row r="764" spans="1:24" x14ac:dyDescent="0.3">
      <c r="A764" s="2">
        <v>45327</v>
      </c>
      <c r="B764" s="1" t="s">
        <v>34</v>
      </c>
      <c r="C764" s="1" t="s">
        <v>26</v>
      </c>
      <c r="D764" s="1" t="s">
        <v>19</v>
      </c>
      <c r="E764" s="1" t="s">
        <v>20</v>
      </c>
      <c r="F764" s="1">
        <v>36</v>
      </c>
      <c r="G764" s="1" t="str" cm="1">
        <f t="array" ref="G764">_xlfn.IFS(F764&lt;=25,"YOUTH",F764&lt;=48,"ADULT",TRUE,"SENIOR")</f>
        <v>ADULT</v>
      </c>
      <c r="H764" s="1" t="s">
        <v>21</v>
      </c>
      <c r="I764" s="1" t="s">
        <v>33</v>
      </c>
      <c r="J764" s="1" t="s">
        <v>23</v>
      </c>
      <c r="K764" s="1" t="s">
        <v>31</v>
      </c>
      <c r="L764" s="1">
        <v>2193</v>
      </c>
      <c r="M764" s="3">
        <f t="shared" si="33"/>
        <v>8.3447332421340628E-2</v>
      </c>
      <c r="N764" s="1">
        <v>183</v>
      </c>
      <c r="O764" s="4">
        <f t="shared" si="34"/>
        <v>5.2285714285714286</v>
      </c>
      <c r="P764" s="1">
        <v>35</v>
      </c>
      <c r="Q764" s="1">
        <v>211.81604190575399</v>
      </c>
      <c r="R764" s="1">
        <v>1671.02596835482</v>
      </c>
      <c r="S764" s="5">
        <f t="shared" si="35"/>
        <v>1670.02596835482</v>
      </c>
      <c r="T764" s="1">
        <v>20</v>
      </c>
      <c r="U764" s="1">
        <v>1</v>
      </c>
      <c r="V764" s="1">
        <v>1</v>
      </c>
      <c r="W764" s="1">
        <v>252</v>
      </c>
      <c r="X764" s="1">
        <v>0.73458164000000004</v>
      </c>
    </row>
    <row r="765" spans="1:24" x14ac:dyDescent="0.3">
      <c r="A765" s="2">
        <v>45346</v>
      </c>
      <c r="B765" s="1" t="s">
        <v>25</v>
      </c>
      <c r="C765" s="1" t="s">
        <v>35</v>
      </c>
      <c r="D765" s="1" t="s">
        <v>27</v>
      </c>
      <c r="E765" s="1" t="s">
        <v>20</v>
      </c>
      <c r="F765" s="1">
        <v>38</v>
      </c>
      <c r="G765" s="1" t="str" cm="1">
        <f t="array" ref="G765">_xlfn.IFS(F765&lt;=25,"YOUTH",F765&lt;=48,"ADULT",TRUE,"SENIOR")</f>
        <v>ADULT</v>
      </c>
      <c r="H765" s="1" t="s">
        <v>21</v>
      </c>
      <c r="I765" s="1" t="s">
        <v>22</v>
      </c>
      <c r="J765" s="1" t="s">
        <v>23</v>
      </c>
      <c r="K765" s="1" t="s">
        <v>39</v>
      </c>
      <c r="L765" s="1">
        <v>5512</v>
      </c>
      <c r="M765" s="3">
        <f t="shared" si="33"/>
        <v>5.5333817126269953E-2</v>
      </c>
      <c r="N765" s="1">
        <v>305</v>
      </c>
      <c r="O765" s="4">
        <f t="shared" si="34"/>
        <v>14.523809523809524</v>
      </c>
      <c r="P765" s="1">
        <v>21</v>
      </c>
      <c r="Q765" s="1">
        <v>574.33395380000002</v>
      </c>
      <c r="R765" s="1">
        <v>1244.32253224294</v>
      </c>
      <c r="S765" s="5">
        <f t="shared" si="35"/>
        <v>1243.32253224294</v>
      </c>
      <c r="T765" s="1">
        <v>72</v>
      </c>
      <c r="U765" s="1">
        <v>11</v>
      </c>
      <c r="V765" s="1">
        <v>3</v>
      </c>
      <c r="W765" s="1">
        <v>462</v>
      </c>
      <c r="X765" s="1">
        <v>0.58358277011026305</v>
      </c>
    </row>
    <row r="766" spans="1:24" x14ac:dyDescent="0.3">
      <c r="A766" s="2">
        <v>45299</v>
      </c>
      <c r="B766" s="1" t="s">
        <v>25</v>
      </c>
      <c r="C766" s="1" t="s">
        <v>18</v>
      </c>
      <c r="D766" s="1" t="s">
        <v>32</v>
      </c>
      <c r="E766" s="1" t="s">
        <v>28</v>
      </c>
      <c r="F766" s="1">
        <v>22</v>
      </c>
      <c r="G766" s="1" t="str" cm="1">
        <f t="array" ref="G766">_xlfn.IFS(F766&lt;=25,"YOUTH",F766&lt;=48,"ADULT",TRUE,"SENIOR")</f>
        <v>YOUTH</v>
      </c>
      <c r="H766" s="1" t="s">
        <v>29</v>
      </c>
      <c r="I766" s="1" t="s">
        <v>43</v>
      </c>
      <c r="J766" s="1" t="s">
        <v>30</v>
      </c>
      <c r="K766" s="1" t="s">
        <v>39</v>
      </c>
      <c r="L766" s="1">
        <v>23666</v>
      </c>
      <c r="M766" s="3">
        <f t="shared" si="33"/>
        <v>2.5521845685793965E-2</v>
      </c>
      <c r="N766" s="1">
        <v>604</v>
      </c>
      <c r="O766" s="4">
        <f t="shared" si="34"/>
        <v>31.789473684210527</v>
      </c>
      <c r="P766" s="1">
        <v>19</v>
      </c>
      <c r="Q766" s="1">
        <v>1863.13964403053</v>
      </c>
      <c r="R766" s="1">
        <v>784.61426366591195</v>
      </c>
      <c r="S766" s="5">
        <f t="shared" si="35"/>
        <v>783.61426366591195</v>
      </c>
      <c r="T766" s="1">
        <v>158</v>
      </c>
      <c r="U766" s="1">
        <v>12</v>
      </c>
      <c r="V766" s="1">
        <v>7</v>
      </c>
      <c r="W766" s="1">
        <v>4725</v>
      </c>
      <c r="X766" s="1">
        <v>0.85465737650523199</v>
      </c>
    </row>
    <row r="767" spans="1:24" x14ac:dyDescent="0.3">
      <c r="A767" s="2">
        <v>45306</v>
      </c>
      <c r="B767" s="1" t="s">
        <v>17</v>
      </c>
      <c r="C767" s="1" t="s">
        <v>35</v>
      </c>
      <c r="D767" s="1" t="s">
        <v>27</v>
      </c>
      <c r="E767" s="1" t="s">
        <v>20</v>
      </c>
      <c r="F767" s="1">
        <v>35</v>
      </c>
      <c r="G767" s="1" t="str" cm="1">
        <f t="array" ref="G767">_xlfn.IFS(F767&lt;=25,"YOUTH",F767&lt;=48,"ADULT",TRUE,"SENIOR")</f>
        <v>ADULT</v>
      </c>
      <c r="H767" s="1" t="s">
        <v>29</v>
      </c>
      <c r="I767" s="1" t="s">
        <v>43</v>
      </c>
      <c r="J767" s="1" t="s">
        <v>23</v>
      </c>
      <c r="K767" s="1" t="s">
        <v>39</v>
      </c>
      <c r="L767" s="1">
        <v>17630</v>
      </c>
      <c r="M767" s="3">
        <f t="shared" si="33"/>
        <v>7.1979580260918885E-2</v>
      </c>
      <c r="N767" s="1">
        <v>1269</v>
      </c>
      <c r="O767" s="4">
        <f t="shared" si="34"/>
        <v>4.9186046511627906</v>
      </c>
      <c r="P767" s="1">
        <v>258</v>
      </c>
      <c r="Q767" s="1">
        <v>2572.7439347432701</v>
      </c>
      <c r="R767" s="1">
        <v>1811.4568099850401</v>
      </c>
      <c r="S767" s="5">
        <f t="shared" si="35"/>
        <v>1810.4568099850401</v>
      </c>
      <c r="T767" s="1">
        <v>102</v>
      </c>
      <c r="U767" s="1">
        <v>11</v>
      </c>
      <c r="V767" s="1">
        <v>8</v>
      </c>
      <c r="W767" s="1">
        <v>3447</v>
      </c>
      <c r="X767" s="1">
        <v>0.56030094925535301</v>
      </c>
    </row>
    <row r="768" spans="1:24" x14ac:dyDescent="0.3">
      <c r="A768" s="2">
        <v>45294</v>
      </c>
      <c r="B768" s="1" t="s">
        <v>34</v>
      </c>
      <c r="C768" s="1" t="s">
        <v>41</v>
      </c>
      <c r="D768" s="1" t="s">
        <v>27</v>
      </c>
      <c r="E768" s="1" t="s">
        <v>20</v>
      </c>
      <c r="F768" s="1">
        <v>45</v>
      </c>
      <c r="G768" s="1" t="str" cm="1">
        <f t="array" ref="G768">_xlfn.IFS(F768&lt;=25,"YOUTH",F768&lt;=48,"ADULT",TRUE,"SENIOR")</f>
        <v>ADULT</v>
      </c>
      <c r="H768" s="1" t="s">
        <v>21</v>
      </c>
      <c r="I768" s="1" t="s">
        <v>33</v>
      </c>
      <c r="J768" s="1" t="s">
        <v>23</v>
      </c>
      <c r="K768" s="1" t="s">
        <v>24</v>
      </c>
      <c r="L768" s="1">
        <v>9983</v>
      </c>
      <c r="M768" s="3">
        <f t="shared" si="33"/>
        <v>4.5377141139937897E-2</v>
      </c>
      <c r="N768" s="1">
        <v>453</v>
      </c>
      <c r="O768" s="4">
        <f t="shared" si="34"/>
        <v>18.12</v>
      </c>
      <c r="P768" s="1">
        <v>25</v>
      </c>
      <c r="Q768" s="1">
        <v>308.47413436903503</v>
      </c>
      <c r="R768" s="1">
        <v>874.77693509156097</v>
      </c>
      <c r="S768" s="5">
        <f t="shared" si="35"/>
        <v>873.77693509156097</v>
      </c>
      <c r="T768" s="1">
        <v>200</v>
      </c>
      <c r="U768" s="1">
        <v>29</v>
      </c>
      <c r="V768" s="1">
        <v>13</v>
      </c>
      <c r="W768" s="1">
        <v>1924</v>
      </c>
      <c r="X768" s="1">
        <v>0.49062504105153698</v>
      </c>
    </row>
    <row r="769" spans="1:24" x14ac:dyDescent="0.3">
      <c r="A769" s="2">
        <v>45338</v>
      </c>
      <c r="B769" s="1" t="s">
        <v>25</v>
      </c>
      <c r="C769" s="1" t="s">
        <v>35</v>
      </c>
      <c r="D769" s="1" t="s">
        <v>19</v>
      </c>
      <c r="E769" s="1" t="s">
        <v>20</v>
      </c>
      <c r="F769" s="1">
        <v>59</v>
      </c>
      <c r="G769" s="1" t="str" cm="1">
        <f t="array" ref="G769">_xlfn.IFS(F769&lt;=25,"YOUTH",F769&lt;=48,"ADULT",TRUE,"SENIOR")</f>
        <v>SENIOR</v>
      </c>
      <c r="H769" s="1" t="s">
        <v>29</v>
      </c>
      <c r="I769" s="1" t="s">
        <v>33</v>
      </c>
      <c r="J769" s="1" t="s">
        <v>30</v>
      </c>
      <c r="K769" s="1" t="s">
        <v>39</v>
      </c>
      <c r="L769" s="1">
        <v>1636</v>
      </c>
      <c r="M769" s="3">
        <f t="shared" si="33"/>
        <v>0.13691931540342298</v>
      </c>
      <c r="N769" s="1">
        <v>224</v>
      </c>
      <c r="O769" s="4">
        <f t="shared" si="34"/>
        <v>6.2222222222222223</v>
      </c>
      <c r="P769" s="1">
        <v>36</v>
      </c>
      <c r="Q769" s="1">
        <v>106.52996147984901</v>
      </c>
      <c r="R769" s="1">
        <v>1262.85826169189</v>
      </c>
      <c r="S769" s="5">
        <f t="shared" si="35"/>
        <v>1261.85826169189</v>
      </c>
      <c r="T769" s="1">
        <v>33</v>
      </c>
      <c r="U769" s="1">
        <v>2</v>
      </c>
      <c r="V769" s="1">
        <v>1</v>
      </c>
      <c r="W769" s="1">
        <v>320</v>
      </c>
      <c r="X769" s="1">
        <v>0.78845884799999999</v>
      </c>
    </row>
    <row r="770" spans="1:24" x14ac:dyDescent="0.3">
      <c r="A770" s="2">
        <v>45304</v>
      </c>
      <c r="B770" s="1" t="s">
        <v>34</v>
      </c>
      <c r="C770" s="1" t="s">
        <v>26</v>
      </c>
      <c r="D770" s="1" t="s">
        <v>19</v>
      </c>
      <c r="E770" s="1" t="s">
        <v>28</v>
      </c>
      <c r="F770" s="1">
        <v>39</v>
      </c>
      <c r="G770" s="1" t="str" cm="1">
        <f t="array" ref="G770">_xlfn.IFS(F770&lt;=25,"YOUTH",F770&lt;=48,"ADULT",TRUE,"SENIOR")</f>
        <v>ADULT</v>
      </c>
      <c r="H770" s="1" t="s">
        <v>42</v>
      </c>
      <c r="I770" s="1" t="s">
        <v>43</v>
      </c>
      <c r="J770" s="1" t="s">
        <v>23</v>
      </c>
      <c r="K770" s="1" t="s">
        <v>31</v>
      </c>
      <c r="L770" s="1">
        <v>4775</v>
      </c>
      <c r="M770" s="3">
        <f t="shared" si="33"/>
        <v>2.4083769633507852E-2</v>
      </c>
      <c r="N770" s="1">
        <v>115</v>
      </c>
      <c r="O770" s="4">
        <f t="shared" si="34"/>
        <v>10.454545454545455</v>
      </c>
      <c r="P770" s="1">
        <v>11</v>
      </c>
      <c r="Q770" s="1">
        <v>355.64060955011701</v>
      </c>
      <c r="R770" s="1">
        <v>443.81592378529399</v>
      </c>
      <c r="S770" s="5">
        <f t="shared" si="35"/>
        <v>442.81592378529399</v>
      </c>
      <c r="T770" s="1">
        <v>87</v>
      </c>
      <c r="U770" s="1">
        <v>9</v>
      </c>
      <c r="V770" s="1">
        <v>7</v>
      </c>
      <c r="W770" s="1">
        <v>767</v>
      </c>
      <c r="X770" s="1">
        <v>0.75142561494389704</v>
      </c>
    </row>
    <row r="771" spans="1:24" x14ac:dyDescent="0.3">
      <c r="A771" s="2">
        <v>45332</v>
      </c>
      <c r="B771" s="1" t="s">
        <v>25</v>
      </c>
      <c r="C771" s="1" t="s">
        <v>18</v>
      </c>
      <c r="D771" s="1" t="s">
        <v>27</v>
      </c>
      <c r="E771" s="1" t="s">
        <v>20</v>
      </c>
      <c r="F771" s="1">
        <v>38</v>
      </c>
      <c r="G771" s="1" t="str" cm="1">
        <f t="array" ref="G771">_xlfn.IFS(F771&lt;=25,"YOUTH",F771&lt;=48,"ADULT",TRUE,"SENIOR")</f>
        <v>ADULT</v>
      </c>
      <c r="H771" s="1" t="s">
        <v>29</v>
      </c>
      <c r="I771" s="1" t="s">
        <v>22</v>
      </c>
      <c r="J771" s="1" t="s">
        <v>23</v>
      </c>
      <c r="K771" s="1" t="s">
        <v>31</v>
      </c>
      <c r="L771" s="1">
        <v>3421</v>
      </c>
      <c r="M771" s="3">
        <f t="shared" ref="M771:M834" si="36">(N771/L771)</f>
        <v>1.666179479684303E-2</v>
      </c>
      <c r="N771" s="1">
        <v>57</v>
      </c>
      <c r="O771" s="4">
        <f t="shared" ref="O771:O834" si="37">(N771/P771)</f>
        <v>28.5</v>
      </c>
      <c r="P771" s="1">
        <v>2</v>
      </c>
      <c r="Q771" s="1">
        <v>75.9454290791641</v>
      </c>
      <c r="R771" s="1">
        <v>97.224657140000005</v>
      </c>
      <c r="S771" s="5">
        <f t="shared" ref="S771:S834" si="38">(R771-Q771/Q771)</f>
        <v>96.224657140000005</v>
      </c>
      <c r="T771" s="1">
        <v>82</v>
      </c>
      <c r="U771" s="1">
        <v>13</v>
      </c>
      <c r="V771" s="1">
        <v>7</v>
      </c>
      <c r="W771" s="1">
        <v>676</v>
      </c>
      <c r="X771" s="1">
        <v>0.88342189642746705</v>
      </c>
    </row>
    <row r="772" spans="1:24" x14ac:dyDescent="0.3">
      <c r="A772" s="2">
        <v>45325</v>
      </c>
      <c r="B772" s="1" t="s">
        <v>34</v>
      </c>
      <c r="C772" s="1" t="s">
        <v>35</v>
      </c>
      <c r="D772" s="1" t="s">
        <v>36</v>
      </c>
      <c r="E772" s="1" t="s">
        <v>20</v>
      </c>
      <c r="F772" s="1">
        <v>23</v>
      </c>
      <c r="G772" s="1" t="str" cm="1">
        <f t="array" ref="G772">_xlfn.IFS(F772&lt;=25,"YOUTH",F772&lt;=48,"ADULT",TRUE,"SENIOR")</f>
        <v>YOUTH</v>
      </c>
      <c r="H772" s="1" t="s">
        <v>29</v>
      </c>
      <c r="I772" s="1" t="s">
        <v>43</v>
      </c>
      <c r="J772" s="1" t="s">
        <v>23</v>
      </c>
      <c r="K772" s="1" t="s">
        <v>39</v>
      </c>
      <c r="L772" s="1">
        <v>14025</v>
      </c>
      <c r="M772" s="3">
        <f t="shared" si="36"/>
        <v>1.06951871657754E-2</v>
      </c>
      <c r="N772" s="1">
        <v>150</v>
      </c>
      <c r="O772" s="4">
        <f t="shared" si="37"/>
        <v>8.8235294117647065</v>
      </c>
      <c r="P772" s="1">
        <v>17</v>
      </c>
      <c r="Q772" s="1">
        <v>945.90819241609097</v>
      </c>
      <c r="R772" s="1">
        <v>106.346835905446</v>
      </c>
      <c r="S772" s="5">
        <f t="shared" si="38"/>
        <v>105.346835905446</v>
      </c>
      <c r="T772" s="1">
        <v>83</v>
      </c>
      <c r="U772" s="1">
        <v>15</v>
      </c>
      <c r="V772" s="1">
        <v>4</v>
      </c>
      <c r="W772" s="1">
        <v>2518</v>
      </c>
      <c r="X772" s="1">
        <v>0.92905861679882695</v>
      </c>
    </row>
    <row r="773" spans="1:24" x14ac:dyDescent="0.3">
      <c r="A773" s="2">
        <v>45315</v>
      </c>
      <c r="B773" s="1" t="s">
        <v>17</v>
      </c>
      <c r="C773" s="1" t="s">
        <v>26</v>
      </c>
      <c r="D773" s="1" t="s">
        <v>36</v>
      </c>
      <c r="E773" s="1" t="s">
        <v>20</v>
      </c>
      <c r="F773" s="1">
        <v>18</v>
      </c>
      <c r="G773" s="1" t="str" cm="1">
        <f t="array" ref="G773">_xlfn.IFS(F773&lt;=25,"YOUTH",F773&lt;=48,"ADULT",TRUE,"SENIOR")</f>
        <v>YOUTH</v>
      </c>
      <c r="H773" s="1" t="s">
        <v>21</v>
      </c>
      <c r="I773" s="1" t="s">
        <v>37</v>
      </c>
      <c r="J773" s="1" t="s">
        <v>23</v>
      </c>
      <c r="K773" s="1" t="s">
        <v>39</v>
      </c>
      <c r="L773" s="1">
        <v>10280</v>
      </c>
      <c r="M773" s="3">
        <f t="shared" si="36"/>
        <v>5.5836575875486384E-2</v>
      </c>
      <c r="N773" s="1">
        <v>574</v>
      </c>
      <c r="O773" s="4">
        <f t="shared" si="37"/>
        <v>44.153846153846153</v>
      </c>
      <c r="P773" s="1">
        <v>13</v>
      </c>
      <c r="Q773" s="1">
        <v>571.38593330978597</v>
      </c>
      <c r="R773" s="1">
        <v>489.20066761778901</v>
      </c>
      <c r="S773" s="5">
        <f t="shared" si="38"/>
        <v>488.20066761778901</v>
      </c>
      <c r="T773" s="1">
        <v>291</v>
      </c>
      <c r="U773" s="1">
        <v>37</v>
      </c>
      <c r="V773" s="1">
        <v>10</v>
      </c>
      <c r="W773" s="1">
        <v>915</v>
      </c>
      <c r="X773" s="1">
        <v>0.87145867297350399</v>
      </c>
    </row>
    <row r="774" spans="1:24" x14ac:dyDescent="0.3">
      <c r="A774" s="2">
        <v>45331</v>
      </c>
      <c r="B774" s="1" t="s">
        <v>40</v>
      </c>
      <c r="C774" s="1" t="s">
        <v>35</v>
      </c>
      <c r="D774" s="1" t="s">
        <v>36</v>
      </c>
      <c r="E774" s="1" t="s">
        <v>20</v>
      </c>
      <c r="F774" s="1">
        <v>22</v>
      </c>
      <c r="G774" s="1" t="str" cm="1">
        <f t="array" ref="G774">_xlfn.IFS(F774&lt;=25,"YOUTH",F774&lt;=48,"ADULT",TRUE,"SENIOR")</f>
        <v>YOUTH</v>
      </c>
      <c r="H774" s="1" t="s">
        <v>29</v>
      </c>
      <c r="I774" s="1" t="s">
        <v>37</v>
      </c>
      <c r="J774" s="1" t="s">
        <v>23</v>
      </c>
      <c r="K774" s="1" t="s">
        <v>39</v>
      </c>
      <c r="L774" s="1">
        <v>37951</v>
      </c>
      <c r="M774" s="3">
        <f t="shared" si="36"/>
        <v>0.10244789333614397</v>
      </c>
      <c r="N774" s="1">
        <v>3888</v>
      </c>
      <c r="O774" s="4">
        <f t="shared" si="37"/>
        <v>4.6899879372738242</v>
      </c>
      <c r="P774" s="1">
        <v>829</v>
      </c>
      <c r="Q774" s="1">
        <v>3255.6157238823998</v>
      </c>
      <c r="R774" s="1">
        <v>35845.964153073102</v>
      </c>
      <c r="S774" s="5">
        <f t="shared" si="38"/>
        <v>35844.964153073102</v>
      </c>
      <c r="T774" s="1">
        <v>279</v>
      </c>
      <c r="U774" s="1">
        <v>14</v>
      </c>
      <c r="V774" s="1">
        <v>26</v>
      </c>
      <c r="W774" s="1">
        <v>6038</v>
      </c>
      <c r="X774" s="1">
        <v>0.43301198867354801</v>
      </c>
    </row>
    <row r="775" spans="1:24" x14ac:dyDescent="0.3">
      <c r="A775" s="2">
        <v>45323</v>
      </c>
      <c r="B775" s="1" t="s">
        <v>17</v>
      </c>
      <c r="C775" s="1" t="s">
        <v>18</v>
      </c>
      <c r="D775" s="1" t="s">
        <v>19</v>
      </c>
      <c r="E775" s="1" t="s">
        <v>20</v>
      </c>
      <c r="F775" s="1">
        <v>58</v>
      </c>
      <c r="G775" s="1" t="str" cm="1">
        <f t="array" ref="G775">_xlfn.IFS(F775&lt;=25,"YOUTH",F775&lt;=48,"ADULT",TRUE,"SENIOR")</f>
        <v>SENIOR</v>
      </c>
      <c r="H775" s="1" t="s">
        <v>21</v>
      </c>
      <c r="I775" s="1" t="s">
        <v>33</v>
      </c>
      <c r="J775" s="1" t="s">
        <v>23</v>
      </c>
      <c r="K775" s="1" t="s">
        <v>39</v>
      </c>
      <c r="L775" s="1">
        <v>12351</v>
      </c>
      <c r="M775" s="3">
        <f t="shared" si="36"/>
        <v>0.11221763419965995</v>
      </c>
      <c r="N775" s="1">
        <v>1386</v>
      </c>
      <c r="O775" s="4">
        <f t="shared" si="37"/>
        <v>7.2565445026178015</v>
      </c>
      <c r="P775" s="1">
        <v>191</v>
      </c>
      <c r="Q775" s="1">
        <v>787.170866873872</v>
      </c>
      <c r="R775" s="1">
        <v>5217.7322923552802</v>
      </c>
      <c r="S775" s="5">
        <f t="shared" si="38"/>
        <v>5216.7322923552802</v>
      </c>
      <c r="T775" s="1">
        <v>269</v>
      </c>
      <c r="U775" s="1">
        <v>27</v>
      </c>
      <c r="V775" s="1">
        <v>24</v>
      </c>
      <c r="W775" s="1">
        <v>2263</v>
      </c>
      <c r="X775" s="1">
        <v>0.76548238814024705</v>
      </c>
    </row>
    <row r="776" spans="1:24" x14ac:dyDescent="0.3">
      <c r="A776" s="2">
        <v>45323</v>
      </c>
      <c r="B776" s="1" t="s">
        <v>25</v>
      </c>
      <c r="C776" s="1" t="s">
        <v>35</v>
      </c>
      <c r="D776" s="1" t="s">
        <v>19</v>
      </c>
      <c r="E776" s="1" t="s">
        <v>20</v>
      </c>
      <c r="F776" s="1">
        <v>29</v>
      </c>
      <c r="G776" s="1" t="str" cm="1">
        <f t="array" ref="G776">_xlfn.IFS(F776&lt;=25,"YOUTH",F776&lt;=48,"ADULT",TRUE,"SENIOR")</f>
        <v>ADULT</v>
      </c>
      <c r="H776" s="1" t="s">
        <v>29</v>
      </c>
      <c r="I776" s="1" t="s">
        <v>22</v>
      </c>
      <c r="J776" s="1" t="s">
        <v>23</v>
      </c>
      <c r="K776" s="1" t="s">
        <v>31</v>
      </c>
      <c r="L776" s="1">
        <v>39091</v>
      </c>
      <c r="M776" s="3">
        <f t="shared" si="36"/>
        <v>7.3444015246476174E-2</v>
      </c>
      <c r="N776" s="1">
        <v>2871</v>
      </c>
      <c r="O776" s="4">
        <f t="shared" si="37"/>
        <v>19.268456375838927</v>
      </c>
      <c r="P776" s="1">
        <v>149</v>
      </c>
      <c r="Q776" s="1">
        <v>4472.1541588349701</v>
      </c>
      <c r="R776" s="1">
        <v>7218.1172195283398</v>
      </c>
      <c r="S776" s="5">
        <f t="shared" si="38"/>
        <v>7217.1172195283398</v>
      </c>
      <c r="T776" s="1">
        <v>325</v>
      </c>
      <c r="U776" s="1">
        <v>35</v>
      </c>
      <c r="V776" s="1">
        <v>12</v>
      </c>
      <c r="W776" s="1">
        <v>5683</v>
      </c>
      <c r="X776" s="1">
        <v>0.83160282707522504</v>
      </c>
    </row>
    <row r="777" spans="1:24" x14ac:dyDescent="0.3">
      <c r="A777" s="2">
        <v>45321</v>
      </c>
      <c r="B777" s="1" t="s">
        <v>17</v>
      </c>
      <c r="C777" s="1" t="s">
        <v>41</v>
      </c>
      <c r="D777" s="1" t="s">
        <v>27</v>
      </c>
      <c r="E777" s="1" t="s">
        <v>20</v>
      </c>
      <c r="F777" s="1">
        <v>43</v>
      </c>
      <c r="G777" s="1" t="str" cm="1">
        <f t="array" ref="G777">_xlfn.IFS(F777&lt;=25,"YOUTH",F777&lt;=48,"ADULT",TRUE,"SENIOR")</f>
        <v>ADULT</v>
      </c>
      <c r="H777" s="1" t="s">
        <v>29</v>
      </c>
      <c r="I777" s="1" t="s">
        <v>22</v>
      </c>
      <c r="J777" s="1" t="s">
        <v>23</v>
      </c>
      <c r="K777" s="1" t="s">
        <v>31</v>
      </c>
      <c r="L777" s="1">
        <v>46656</v>
      </c>
      <c r="M777" s="3">
        <f t="shared" si="36"/>
        <v>0.10579561042524005</v>
      </c>
      <c r="N777" s="1">
        <v>4936</v>
      </c>
      <c r="O777" s="4">
        <f t="shared" si="37"/>
        <v>13.449591280653951</v>
      </c>
      <c r="P777" s="1">
        <v>367</v>
      </c>
      <c r="Q777" s="1">
        <v>4026.0033657460999</v>
      </c>
      <c r="R777" s="1">
        <v>7278.1794421163704</v>
      </c>
      <c r="S777" s="5">
        <f t="shared" si="38"/>
        <v>7277.1794421163704</v>
      </c>
      <c r="T777" s="1">
        <v>1259</v>
      </c>
      <c r="U777" s="1">
        <v>127</v>
      </c>
      <c r="V777" s="1">
        <v>34</v>
      </c>
      <c r="W777" s="1">
        <v>4214</v>
      </c>
      <c r="X777" s="1">
        <v>0.94006079799999998</v>
      </c>
    </row>
    <row r="778" spans="1:24" x14ac:dyDescent="0.3">
      <c r="A778" s="2">
        <v>45343</v>
      </c>
      <c r="B778" s="1" t="s">
        <v>40</v>
      </c>
      <c r="C778" s="1" t="s">
        <v>35</v>
      </c>
      <c r="D778" s="1" t="s">
        <v>32</v>
      </c>
      <c r="E778" s="1" t="s">
        <v>28</v>
      </c>
      <c r="F778" s="1">
        <v>51</v>
      </c>
      <c r="G778" s="1" t="str" cm="1">
        <f t="array" ref="G778">_xlfn.IFS(F778&lt;=25,"YOUTH",F778&lt;=48,"ADULT",TRUE,"SENIOR")</f>
        <v>SENIOR</v>
      </c>
      <c r="H778" s="1" t="s">
        <v>21</v>
      </c>
      <c r="I778" s="1" t="s">
        <v>37</v>
      </c>
      <c r="J778" s="1" t="s">
        <v>38</v>
      </c>
      <c r="K778" s="1" t="s">
        <v>31</v>
      </c>
      <c r="L778" s="1">
        <v>31171</v>
      </c>
      <c r="M778" s="3">
        <f t="shared" si="36"/>
        <v>6.0376632126014566E-2</v>
      </c>
      <c r="N778" s="1">
        <v>1882</v>
      </c>
      <c r="O778" s="4">
        <f t="shared" si="37"/>
        <v>8.1471861471861473</v>
      </c>
      <c r="P778" s="1">
        <v>231</v>
      </c>
      <c r="Q778" s="1">
        <v>1149.24641544056</v>
      </c>
      <c r="R778" s="1">
        <v>5920.3455810077803</v>
      </c>
      <c r="S778" s="5">
        <f t="shared" si="38"/>
        <v>5919.3455810077803</v>
      </c>
      <c r="T778" s="1">
        <v>553</v>
      </c>
      <c r="U778" s="1">
        <v>63</v>
      </c>
      <c r="V778" s="1">
        <v>30</v>
      </c>
      <c r="W778" s="1">
        <v>701</v>
      </c>
      <c r="X778" s="1">
        <v>0.60606371473194798</v>
      </c>
    </row>
    <row r="779" spans="1:24" x14ac:dyDescent="0.3">
      <c r="A779" s="2">
        <v>45340</v>
      </c>
      <c r="B779" s="1" t="s">
        <v>17</v>
      </c>
      <c r="C779" s="1" t="s">
        <v>26</v>
      </c>
      <c r="D779" s="1" t="s">
        <v>19</v>
      </c>
      <c r="E779" s="1" t="s">
        <v>28</v>
      </c>
      <c r="F779" s="1">
        <v>31</v>
      </c>
      <c r="G779" s="1" t="str" cm="1">
        <f t="array" ref="G779">_xlfn.IFS(F779&lt;=25,"YOUTH",F779&lt;=48,"ADULT",TRUE,"SENIOR")</f>
        <v>ADULT</v>
      </c>
      <c r="H779" s="1" t="s">
        <v>21</v>
      </c>
      <c r="I779" s="1" t="s">
        <v>43</v>
      </c>
      <c r="J779" s="1" t="s">
        <v>23</v>
      </c>
      <c r="K779" s="1" t="s">
        <v>31</v>
      </c>
      <c r="L779" s="1">
        <v>4644</v>
      </c>
      <c r="M779" s="3">
        <f t="shared" si="36"/>
        <v>0.10335917312661498</v>
      </c>
      <c r="N779" s="1">
        <v>480</v>
      </c>
      <c r="O779" s="4">
        <f t="shared" si="37"/>
        <v>16</v>
      </c>
      <c r="P779" s="1">
        <v>30</v>
      </c>
      <c r="Q779" s="1">
        <v>545.70702261242502</v>
      </c>
      <c r="R779" s="1">
        <v>2027.37292747743</v>
      </c>
      <c r="S779" s="5">
        <f t="shared" si="38"/>
        <v>2026.37292747743</v>
      </c>
      <c r="T779" s="1">
        <v>32</v>
      </c>
      <c r="U779" s="1">
        <v>4</v>
      </c>
      <c r="V779" s="1">
        <v>2</v>
      </c>
      <c r="W779" s="1">
        <v>760</v>
      </c>
      <c r="X779" s="1">
        <v>0.49343487299913102</v>
      </c>
    </row>
    <row r="780" spans="1:24" x14ac:dyDescent="0.3">
      <c r="A780" s="2">
        <v>45304</v>
      </c>
      <c r="B780" s="1" t="s">
        <v>25</v>
      </c>
      <c r="C780" s="1" t="s">
        <v>35</v>
      </c>
      <c r="D780" s="1" t="s">
        <v>27</v>
      </c>
      <c r="E780" s="1" t="s">
        <v>20</v>
      </c>
      <c r="F780" s="1">
        <v>43</v>
      </c>
      <c r="G780" s="1" t="str" cm="1">
        <f t="array" ref="G780">_xlfn.IFS(F780&lt;=25,"YOUTH",F780&lt;=48,"ADULT",TRUE,"SENIOR")</f>
        <v>ADULT</v>
      </c>
      <c r="H780" s="1" t="s">
        <v>21</v>
      </c>
      <c r="I780" s="1" t="s">
        <v>33</v>
      </c>
      <c r="J780" s="1" t="s">
        <v>23</v>
      </c>
      <c r="K780" s="1" t="s">
        <v>31</v>
      </c>
      <c r="L780" s="1">
        <v>17142</v>
      </c>
      <c r="M780" s="3">
        <f t="shared" si="36"/>
        <v>1.5634115039085288E-2</v>
      </c>
      <c r="N780" s="1">
        <v>268</v>
      </c>
      <c r="O780" s="4">
        <f t="shared" si="37"/>
        <v>12.761904761904763</v>
      </c>
      <c r="P780" s="1">
        <v>21</v>
      </c>
      <c r="Q780" s="1">
        <v>563.96762576440096</v>
      </c>
      <c r="R780" s="1">
        <v>580.11605622545596</v>
      </c>
      <c r="S780" s="5">
        <f t="shared" si="38"/>
        <v>579.11605622545596</v>
      </c>
      <c r="T780" s="1">
        <v>350</v>
      </c>
      <c r="U780" s="1">
        <v>23</v>
      </c>
      <c r="V780" s="1">
        <v>11</v>
      </c>
      <c r="W780" s="1">
        <v>3274</v>
      </c>
      <c r="X780" s="1">
        <v>0.86911318398847104</v>
      </c>
    </row>
    <row r="781" spans="1:24" x14ac:dyDescent="0.3">
      <c r="A781" s="2">
        <v>45292</v>
      </c>
      <c r="B781" s="1" t="s">
        <v>25</v>
      </c>
      <c r="C781" s="1" t="s">
        <v>26</v>
      </c>
      <c r="D781" s="1" t="s">
        <v>27</v>
      </c>
      <c r="E781" s="1" t="s">
        <v>28</v>
      </c>
      <c r="F781" s="1">
        <v>44</v>
      </c>
      <c r="G781" s="1" t="str" cm="1">
        <f t="array" ref="G781">_xlfn.IFS(F781&lt;=25,"YOUTH",F781&lt;=48,"ADULT",TRUE,"SENIOR")</f>
        <v>ADULT</v>
      </c>
      <c r="H781" s="1" t="s">
        <v>21</v>
      </c>
      <c r="I781" s="1" t="s">
        <v>43</v>
      </c>
      <c r="J781" s="1" t="s">
        <v>23</v>
      </c>
      <c r="K781" s="1" t="s">
        <v>39</v>
      </c>
      <c r="L781" s="1">
        <v>8773</v>
      </c>
      <c r="M781" s="3">
        <f t="shared" si="36"/>
        <v>6.4630115125954637E-2</v>
      </c>
      <c r="N781" s="1">
        <v>567</v>
      </c>
      <c r="O781" s="4">
        <f t="shared" si="37"/>
        <v>7</v>
      </c>
      <c r="P781" s="1">
        <v>81</v>
      </c>
      <c r="Q781" s="1">
        <v>1132.38718570282</v>
      </c>
      <c r="R781" s="1">
        <v>2229.3271719806398</v>
      </c>
      <c r="S781" s="5">
        <f t="shared" si="38"/>
        <v>2228.3271719806398</v>
      </c>
      <c r="T781" s="1">
        <v>45</v>
      </c>
      <c r="U781" s="1">
        <v>4</v>
      </c>
      <c r="V781" s="1">
        <v>2</v>
      </c>
      <c r="W781" s="1">
        <v>691</v>
      </c>
      <c r="X781" s="1">
        <v>0.574606708997905</v>
      </c>
    </row>
    <row r="782" spans="1:24" x14ac:dyDescent="0.3">
      <c r="A782" s="2">
        <v>45325</v>
      </c>
      <c r="B782" s="1" t="s">
        <v>17</v>
      </c>
      <c r="C782" s="1" t="s">
        <v>18</v>
      </c>
      <c r="D782" s="1" t="s">
        <v>32</v>
      </c>
      <c r="E782" s="1" t="s">
        <v>20</v>
      </c>
      <c r="F782" s="1">
        <v>26</v>
      </c>
      <c r="G782" s="1" t="str" cm="1">
        <f t="array" ref="G782">_xlfn.IFS(F782&lt;=25,"YOUTH",F782&lt;=48,"ADULT",TRUE,"SENIOR")</f>
        <v>ADULT</v>
      </c>
      <c r="H782" s="1" t="s">
        <v>21</v>
      </c>
      <c r="I782" s="1" t="s">
        <v>43</v>
      </c>
      <c r="J782" s="1" t="s">
        <v>23</v>
      </c>
      <c r="K782" s="1" t="s">
        <v>39</v>
      </c>
      <c r="L782" s="1">
        <v>29466</v>
      </c>
      <c r="M782" s="3">
        <f t="shared" si="36"/>
        <v>0.12071540080092309</v>
      </c>
      <c r="N782" s="1">
        <v>3557</v>
      </c>
      <c r="O782" s="4">
        <f t="shared" si="37"/>
        <v>4.730053191489362</v>
      </c>
      <c r="P782" s="1">
        <v>752</v>
      </c>
      <c r="Q782" s="1">
        <v>4157.2072280000002</v>
      </c>
      <c r="R782" s="1">
        <v>32876.869479033798</v>
      </c>
      <c r="S782" s="5">
        <f t="shared" si="38"/>
        <v>32875.869479033798</v>
      </c>
      <c r="T782" s="1">
        <v>718</v>
      </c>
      <c r="U782" s="1">
        <v>90</v>
      </c>
      <c r="V782" s="1">
        <v>38</v>
      </c>
      <c r="W782" s="1">
        <v>1145</v>
      </c>
      <c r="X782" s="1">
        <v>0.72901104268662198</v>
      </c>
    </row>
    <row r="783" spans="1:24" x14ac:dyDescent="0.3">
      <c r="A783" s="2">
        <v>45306</v>
      </c>
      <c r="B783" s="1" t="s">
        <v>40</v>
      </c>
      <c r="C783" s="1" t="s">
        <v>35</v>
      </c>
      <c r="D783" s="1" t="s">
        <v>36</v>
      </c>
      <c r="E783" s="1" t="s">
        <v>20</v>
      </c>
      <c r="F783" s="1">
        <v>43</v>
      </c>
      <c r="G783" s="1" t="str" cm="1">
        <f t="array" ref="G783">_xlfn.IFS(F783&lt;=25,"YOUTH",F783&lt;=48,"ADULT",TRUE,"SENIOR")</f>
        <v>ADULT</v>
      </c>
      <c r="H783" s="1" t="s">
        <v>29</v>
      </c>
      <c r="I783" s="1" t="s">
        <v>43</v>
      </c>
      <c r="J783" s="1" t="s">
        <v>23</v>
      </c>
      <c r="K783" s="1" t="s">
        <v>31</v>
      </c>
      <c r="L783" s="1">
        <v>11778</v>
      </c>
      <c r="M783" s="3">
        <f t="shared" si="36"/>
        <v>0.12234674817456274</v>
      </c>
      <c r="N783" s="1">
        <v>1441</v>
      </c>
      <c r="O783" s="4">
        <f t="shared" si="37"/>
        <v>8.8950617283950617</v>
      </c>
      <c r="P783" s="1">
        <v>162</v>
      </c>
      <c r="Q783" s="1">
        <v>729.26888161363695</v>
      </c>
      <c r="R783" s="1">
        <v>11034.3702234264</v>
      </c>
      <c r="S783" s="5">
        <f t="shared" si="38"/>
        <v>11033.3702234264</v>
      </c>
      <c r="T783" s="1">
        <v>250</v>
      </c>
      <c r="U783" s="1">
        <v>24</v>
      </c>
      <c r="V783" s="1">
        <v>22</v>
      </c>
      <c r="W783" s="1">
        <v>848</v>
      </c>
      <c r="X783" s="1">
        <v>0.61444211999999998</v>
      </c>
    </row>
    <row r="784" spans="1:24" x14ac:dyDescent="0.3">
      <c r="A784" s="2">
        <v>45335</v>
      </c>
      <c r="B784" s="1" t="s">
        <v>17</v>
      </c>
      <c r="C784" s="1" t="s">
        <v>18</v>
      </c>
      <c r="D784" s="1" t="s">
        <v>27</v>
      </c>
      <c r="E784" s="1" t="s">
        <v>20</v>
      </c>
      <c r="F784" s="1">
        <v>39</v>
      </c>
      <c r="G784" s="1" t="str" cm="1">
        <f t="array" ref="G784">_xlfn.IFS(F784&lt;=25,"YOUTH",F784&lt;=48,"ADULT",TRUE,"SENIOR")</f>
        <v>ADULT</v>
      </c>
      <c r="H784" s="1" t="s">
        <v>29</v>
      </c>
      <c r="I784" s="1" t="s">
        <v>22</v>
      </c>
      <c r="J784" s="1" t="s">
        <v>23</v>
      </c>
      <c r="K784" s="1" t="s">
        <v>31</v>
      </c>
      <c r="L784" s="1">
        <v>13501</v>
      </c>
      <c r="M784" s="3">
        <f t="shared" si="36"/>
        <v>0.11021405821790979</v>
      </c>
      <c r="N784" s="1">
        <v>1488</v>
      </c>
      <c r="O784" s="4">
        <f t="shared" si="37"/>
        <v>5.4109090909090911</v>
      </c>
      <c r="P784" s="1">
        <v>275</v>
      </c>
      <c r="Q784" s="1">
        <v>1895.5207199187601</v>
      </c>
      <c r="R784" s="1">
        <v>18947.5629714098</v>
      </c>
      <c r="S784" s="5">
        <f t="shared" si="38"/>
        <v>18946.5629714098</v>
      </c>
      <c r="T784" s="1">
        <v>139</v>
      </c>
      <c r="U784" s="1">
        <v>27</v>
      </c>
      <c r="V784" s="1">
        <v>7</v>
      </c>
      <c r="W784" s="1">
        <v>1629</v>
      </c>
      <c r="X784" s="1">
        <v>0.62127944121726297</v>
      </c>
    </row>
    <row r="785" spans="1:24" x14ac:dyDescent="0.3">
      <c r="A785" s="2">
        <v>45305</v>
      </c>
      <c r="B785" s="1" t="s">
        <v>40</v>
      </c>
      <c r="C785" s="1" t="s">
        <v>18</v>
      </c>
      <c r="D785" s="1" t="s">
        <v>27</v>
      </c>
      <c r="E785" s="1" t="s">
        <v>28</v>
      </c>
      <c r="F785" s="1">
        <v>47</v>
      </c>
      <c r="G785" s="1" t="str" cm="1">
        <f t="array" ref="G785">_xlfn.IFS(F785&lt;=25,"YOUTH",F785&lt;=48,"ADULT",TRUE,"SENIOR")</f>
        <v>ADULT</v>
      </c>
      <c r="H785" s="1" t="s">
        <v>42</v>
      </c>
      <c r="I785" s="1" t="s">
        <v>37</v>
      </c>
      <c r="J785" s="1" t="s">
        <v>38</v>
      </c>
      <c r="K785" s="1" t="s">
        <v>31</v>
      </c>
      <c r="L785" s="1">
        <v>48177</v>
      </c>
      <c r="M785" s="3">
        <f t="shared" si="36"/>
        <v>3.8586877555680098E-2</v>
      </c>
      <c r="N785" s="1">
        <v>1859</v>
      </c>
      <c r="O785" s="4">
        <f t="shared" si="37"/>
        <v>4.5121359223300974</v>
      </c>
      <c r="P785" s="1">
        <v>412</v>
      </c>
      <c r="Q785" s="1">
        <v>5930.1580306660398</v>
      </c>
      <c r="R785" s="1">
        <v>17583.240267251698</v>
      </c>
      <c r="S785" s="5">
        <f t="shared" si="38"/>
        <v>17582.240267251698</v>
      </c>
      <c r="T785" s="1">
        <v>692</v>
      </c>
      <c r="U785" s="1">
        <v>79</v>
      </c>
      <c r="V785" s="1">
        <v>43</v>
      </c>
      <c r="W785" s="1">
        <v>3382</v>
      </c>
      <c r="X785" s="1">
        <v>0.80285546354759796</v>
      </c>
    </row>
    <row r="786" spans="1:24" x14ac:dyDescent="0.3">
      <c r="A786" s="2">
        <v>45348</v>
      </c>
      <c r="B786" s="1" t="s">
        <v>34</v>
      </c>
      <c r="C786" s="1" t="s">
        <v>35</v>
      </c>
      <c r="D786" s="1" t="s">
        <v>27</v>
      </c>
      <c r="E786" s="1" t="s">
        <v>20</v>
      </c>
      <c r="F786" s="1">
        <v>34</v>
      </c>
      <c r="G786" s="1" t="str" cm="1">
        <f t="array" ref="G786">_xlfn.IFS(F786&lt;=25,"YOUTH",F786&lt;=48,"ADULT",TRUE,"SENIOR")</f>
        <v>ADULT</v>
      </c>
      <c r="H786" s="1" t="s">
        <v>21</v>
      </c>
      <c r="I786" s="1" t="s">
        <v>22</v>
      </c>
      <c r="J786" s="1" t="s">
        <v>23</v>
      </c>
      <c r="K786" s="1" t="s">
        <v>31</v>
      </c>
      <c r="L786" s="1">
        <v>3108</v>
      </c>
      <c r="M786" s="3">
        <f t="shared" si="36"/>
        <v>4.4401544401544403E-2</v>
      </c>
      <c r="N786" s="1">
        <v>138</v>
      </c>
      <c r="O786" s="4">
        <f t="shared" si="37"/>
        <v>15.333333333333334</v>
      </c>
      <c r="P786" s="1">
        <v>9</v>
      </c>
      <c r="Q786" s="1">
        <v>434.86088426996298</v>
      </c>
      <c r="R786" s="1">
        <v>45.6359065858855</v>
      </c>
      <c r="S786" s="5">
        <f t="shared" si="38"/>
        <v>44.6359065858855</v>
      </c>
      <c r="T786" s="1">
        <v>16</v>
      </c>
      <c r="U786" s="1">
        <v>2</v>
      </c>
      <c r="V786" s="1">
        <v>1</v>
      </c>
      <c r="W786" s="1">
        <v>391</v>
      </c>
      <c r="X786" s="1">
        <v>0.59881131893696604</v>
      </c>
    </row>
    <row r="787" spans="1:24" x14ac:dyDescent="0.3">
      <c r="A787" s="2">
        <v>45320</v>
      </c>
      <c r="B787" s="1" t="s">
        <v>40</v>
      </c>
      <c r="C787" s="1" t="s">
        <v>26</v>
      </c>
      <c r="D787" s="1" t="s">
        <v>36</v>
      </c>
      <c r="E787" s="1" t="s">
        <v>20</v>
      </c>
      <c r="F787" s="1">
        <v>43</v>
      </c>
      <c r="G787" s="1" t="str" cm="1">
        <f t="array" ref="G787">_xlfn.IFS(F787&lt;=25,"YOUTH",F787&lt;=48,"ADULT",TRUE,"SENIOR")</f>
        <v>ADULT</v>
      </c>
      <c r="H787" s="1" t="s">
        <v>21</v>
      </c>
      <c r="I787" s="1" t="s">
        <v>37</v>
      </c>
      <c r="J787" s="1" t="s">
        <v>23</v>
      </c>
      <c r="K787" s="1" t="s">
        <v>39</v>
      </c>
      <c r="L787" s="1">
        <v>30369</v>
      </c>
      <c r="M787" s="3">
        <f t="shared" si="36"/>
        <v>0.14942869373374165</v>
      </c>
      <c r="N787" s="1">
        <v>4538</v>
      </c>
      <c r="O787" s="4">
        <f t="shared" si="37"/>
        <v>4.8638799571275459</v>
      </c>
      <c r="P787" s="1">
        <v>933</v>
      </c>
      <c r="Q787" s="1">
        <v>3237.7945124593898</v>
      </c>
      <c r="R787" s="1">
        <v>59285.31652</v>
      </c>
      <c r="S787" s="5">
        <f t="shared" si="38"/>
        <v>59284.31652</v>
      </c>
      <c r="T787" s="1">
        <v>678</v>
      </c>
      <c r="U787" s="1">
        <v>125</v>
      </c>
      <c r="V787" s="1">
        <v>29</v>
      </c>
      <c r="W787" s="1">
        <v>5882</v>
      </c>
      <c r="X787" s="1">
        <v>0.78119131213376702</v>
      </c>
    </row>
    <row r="788" spans="1:24" x14ac:dyDescent="0.3">
      <c r="A788" s="2">
        <v>45325</v>
      </c>
      <c r="B788" s="1" t="s">
        <v>34</v>
      </c>
      <c r="C788" s="1" t="s">
        <v>18</v>
      </c>
      <c r="D788" s="1" t="s">
        <v>36</v>
      </c>
      <c r="E788" s="1" t="s">
        <v>28</v>
      </c>
      <c r="F788" s="1">
        <v>53</v>
      </c>
      <c r="G788" s="1" t="str" cm="1">
        <f t="array" ref="G788">_xlfn.IFS(F788&lt;=25,"YOUTH",F788&lt;=48,"ADULT",TRUE,"SENIOR")</f>
        <v>SENIOR</v>
      </c>
      <c r="H788" s="1" t="s">
        <v>29</v>
      </c>
      <c r="I788" s="1" t="s">
        <v>33</v>
      </c>
      <c r="J788" s="1" t="s">
        <v>23</v>
      </c>
      <c r="K788" s="1" t="s">
        <v>39</v>
      </c>
      <c r="L788" s="1">
        <v>37382</v>
      </c>
      <c r="M788" s="3">
        <f t="shared" si="36"/>
        <v>2.4450270183510779E-2</v>
      </c>
      <c r="N788" s="1">
        <v>914</v>
      </c>
      <c r="O788" s="4">
        <f t="shared" si="37"/>
        <v>5.1638418079096047</v>
      </c>
      <c r="P788" s="1">
        <v>177</v>
      </c>
      <c r="Q788" s="1">
        <v>1892.7899126146999</v>
      </c>
      <c r="R788" s="1">
        <v>7445.5877824589297</v>
      </c>
      <c r="S788" s="5">
        <f t="shared" si="38"/>
        <v>7444.5877824589297</v>
      </c>
      <c r="T788" s="1">
        <v>488</v>
      </c>
      <c r="U788" s="1">
        <v>85</v>
      </c>
      <c r="V788" s="1">
        <v>21</v>
      </c>
      <c r="W788" s="1">
        <v>5137</v>
      </c>
      <c r="X788" s="1">
        <v>0.40788065049876598</v>
      </c>
    </row>
    <row r="789" spans="1:24" x14ac:dyDescent="0.3">
      <c r="A789" s="2">
        <v>45309</v>
      </c>
      <c r="B789" s="1" t="s">
        <v>17</v>
      </c>
      <c r="C789" s="1" t="s">
        <v>18</v>
      </c>
      <c r="D789" s="1" t="s">
        <v>32</v>
      </c>
      <c r="E789" s="1" t="s">
        <v>28</v>
      </c>
      <c r="F789" s="1">
        <v>18</v>
      </c>
      <c r="G789" s="1" t="str" cm="1">
        <f t="array" ref="G789">_xlfn.IFS(F789&lt;=25,"YOUTH",F789&lt;=48,"ADULT",TRUE,"SENIOR")</f>
        <v>YOUTH</v>
      </c>
      <c r="H789" s="1" t="s">
        <v>29</v>
      </c>
      <c r="I789" s="1" t="s">
        <v>33</v>
      </c>
      <c r="J789" s="1" t="s">
        <v>23</v>
      </c>
      <c r="K789" s="1" t="s">
        <v>39</v>
      </c>
      <c r="L789" s="1">
        <v>26818</v>
      </c>
      <c r="M789" s="3">
        <f t="shared" si="36"/>
        <v>3.5274815422477443E-2</v>
      </c>
      <c r="N789" s="1">
        <v>946</v>
      </c>
      <c r="O789" s="4">
        <f t="shared" si="37"/>
        <v>9.8541666666666661</v>
      </c>
      <c r="P789" s="1">
        <v>96</v>
      </c>
      <c r="Q789" s="1">
        <v>3654.9721417721998</v>
      </c>
      <c r="R789" s="1">
        <v>2763.8175877291901</v>
      </c>
      <c r="S789" s="5">
        <f t="shared" si="38"/>
        <v>2762.8175877291901</v>
      </c>
      <c r="T789" s="1">
        <v>517</v>
      </c>
      <c r="U789" s="1">
        <v>29</v>
      </c>
      <c r="V789" s="1">
        <v>43</v>
      </c>
      <c r="W789" s="1">
        <v>2116</v>
      </c>
      <c r="X789" s="1">
        <v>0.57855606450213104</v>
      </c>
    </row>
    <row r="790" spans="1:24" x14ac:dyDescent="0.3">
      <c r="A790" s="2">
        <v>45345</v>
      </c>
      <c r="B790" s="1" t="s">
        <v>40</v>
      </c>
      <c r="C790" s="1" t="s">
        <v>35</v>
      </c>
      <c r="D790" s="1" t="s">
        <v>19</v>
      </c>
      <c r="E790" s="1" t="s">
        <v>20</v>
      </c>
      <c r="F790" s="1">
        <v>25</v>
      </c>
      <c r="G790" s="1" t="str" cm="1">
        <f t="array" ref="G790">_xlfn.IFS(F790&lt;=25,"YOUTH",F790&lt;=48,"ADULT",TRUE,"SENIOR")</f>
        <v>YOUTH</v>
      </c>
      <c r="H790" s="1" t="s">
        <v>21</v>
      </c>
      <c r="I790" s="1" t="s">
        <v>43</v>
      </c>
      <c r="J790" s="1" t="s">
        <v>23</v>
      </c>
      <c r="K790" s="1" t="s">
        <v>39</v>
      </c>
      <c r="L790" s="1">
        <v>11251</v>
      </c>
      <c r="M790" s="3">
        <f t="shared" si="36"/>
        <v>2.8175273309039198E-2</v>
      </c>
      <c r="N790" s="1">
        <v>317</v>
      </c>
      <c r="O790" s="4">
        <f t="shared" si="37"/>
        <v>4.0641025641025639</v>
      </c>
      <c r="P790" s="1">
        <v>78</v>
      </c>
      <c r="Q790" s="1">
        <v>494.53162835961399</v>
      </c>
      <c r="R790" s="1">
        <v>4594.0193649508001</v>
      </c>
      <c r="S790" s="5">
        <f t="shared" si="38"/>
        <v>4593.0193649508001</v>
      </c>
      <c r="T790" s="1">
        <v>325</v>
      </c>
      <c r="U790" s="1">
        <v>62</v>
      </c>
      <c r="V790" s="1">
        <v>13</v>
      </c>
      <c r="W790" s="1">
        <v>2112</v>
      </c>
      <c r="X790" s="1">
        <v>0.57547421724451397</v>
      </c>
    </row>
    <row r="791" spans="1:24" x14ac:dyDescent="0.3">
      <c r="A791" s="2">
        <v>45298</v>
      </c>
      <c r="B791" s="1" t="s">
        <v>34</v>
      </c>
      <c r="C791" s="1" t="s">
        <v>35</v>
      </c>
      <c r="D791" s="1" t="s">
        <v>36</v>
      </c>
      <c r="E791" s="1" t="s">
        <v>28</v>
      </c>
      <c r="F791" s="1">
        <v>52</v>
      </c>
      <c r="G791" s="1" t="str" cm="1">
        <f t="array" ref="G791">_xlfn.IFS(F791&lt;=25,"YOUTH",F791&lt;=48,"ADULT",TRUE,"SENIOR")</f>
        <v>SENIOR</v>
      </c>
      <c r="H791" s="1" t="s">
        <v>21</v>
      </c>
      <c r="I791" s="1" t="s">
        <v>37</v>
      </c>
      <c r="J791" s="1" t="s">
        <v>23</v>
      </c>
      <c r="K791" s="1" t="s">
        <v>39</v>
      </c>
      <c r="L791" s="1">
        <v>24341</v>
      </c>
      <c r="M791" s="3">
        <f t="shared" si="36"/>
        <v>5.5831724251263301E-2</v>
      </c>
      <c r="N791" s="1">
        <v>1359</v>
      </c>
      <c r="O791" s="4">
        <f t="shared" si="37"/>
        <v>12.467889908256881</v>
      </c>
      <c r="P791" s="1">
        <v>109</v>
      </c>
      <c r="Q791" s="1">
        <v>1161.01389340131</v>
      </c>
      <c r="R791" s="1">
        <v>3377.8129744961998</v>
      </c>
      <c r="S791" s="5">
        <f t="shared" si="38"/>
        <v>3376.8129744961998</v>
      </c>
      <c r="T791" s="1">
        <v>303</v>
      </c>
      <c r="U791" s="1">
        <v>21</v>
      </c>
      <c r="V791" s="1">
        <v>26</v>
      </c>
      <c r="W791" s="1">
        <v>2859</v>
      </c>
      <c r="X791" s="1">
        <v>0.81185940724319405</v>
      </c>
    </row>
    <row r="792" spans="1:24" x14ac:dyDescent="0.3">
      <c r="A792" s="2">
        <v>45320</v>
      </c>
      <c r="B792" s="1" t="s">
        <v>34</v>
      </c>
      <c r="C792" s="1" t="s">
        <v>35</v>
      </c>
      <c r="D792" s="1" t="s">
        <v>19</v>
      </c>
      <c r="E792" s="1" t="s">
        <v>28</v>
      </c>
      <c r="F792" s="1">
        <v>32</v>
      </c>
      <c r="G792" s="1" t="str" cm="1">
        <f t="array" ref="G792">_xlfn.IFS(F792&lt;=25,"YOUTH",F792&lt;=48,"ADULT",TRUE,"SENIOR")</f>
        <v>ADULT</v>
      </c>
      <c r="H792" s="1" t="s">
        <v>21</v>
      </c>
      <c r="I792" s="1" t="s">
        <v>37</v>
      </c>
      <c r="J792" s="1" t="s">
        <v>23</v>
      </c>
      <c r="K792" s="1" t="s">
        <v>31</v>
      </c>
      <c r="L792" s="1">
        <v>12678</v>
      </c>
      <c r="M792" s="3">
        <f t="shared" si="36"/>
        <v>3.9359520429089759E-2</v>
      </c>
      <c r="N792" s="1">
        <v>499</v>
      </c>
      <c r="O792" s="4">
        <f t="shared" si="37"/>
        <v>12.794871794871796</v>
      </c>
      <c r="P792" s="1">
        <v>39</v>
      </c>
      <c r="Q792" s="1">
        <v>700.30975656993905</v>
      </c>
      <c r="R792" s="1">
        <v>281.30282321766998</v>
      </c>
      <c r="S792" s="5">
        <f t="shared" si="38"/>
        <v>280.30282321766998</v>
      </c>
      <c r="T792" s="1">
        <v>377</v>
      </c>
      <c r="U792" s="1">
        <v>20</v>
      </c>
      <c r="V792" s="1">
        <v>10</v>
      </c>
      <c r="W792" s="1">
        <v>436</v>
      </c>
      <c r="X792" s="1">
        <v>0.57300641381409501</v>
      </c>
    </row>
    <row r="793" spans="1:24" x14ac:dyDescent="0.3">
      <c r="A793" s="2">
        <v>45346</v>
      </c>
      <c r="B793" s="1" t="s">
        <v>34</v>
      </c>
      <c r="C793" s="1" t="s">
        <v>35</v>
      </c>
      <c r="D793" s="1" t="s">
        <v>19</v>
      </c>
      <c r="E793" s="1" t="s">
        <v>20</v>
      </c>
      <c r="F793" s="1">
        <v>39</v>
      </c>
      <c r="G793" s="1" t="str" cm="1">
        <f t="array" ref="G793">_xlfn.IFS(F793&lt;=25,"YOUTH",F793&lt;=48,"ADULT",TRUE,"SENIOR")</f>
        <v>ADULT</v>
      </c>
      <c r="H793" s="1" t="s">
        <v>21</v>
      </c>
      <c r="I793" s="1" t="s">
        <v>37</v>
      </c>
      <c r="J793" s="1" t="s">
        <v>38</v>
      </c>
      <c r="K793" s="1" t="s">
        <v>31</v>
      </c>
      <c r="L793" s="1">
        <v>15367</v>
      </c>
      <c r="M793" s="3">
        <f t="shared" si="36"/>
        <v>7.9651200624715299E-2</v>
      </c>
      <c r="N793" s="1">
        <v>1224</v>
      </c>
      <c r="O793" s="4">
        <f t="shared" si="37"/>
        <v>5.0788381742738586</v>
      </c>
      <c r="P793" s="1">
        <v>241</v>
      </c>
      <c r="Q793" s="1">
        <v>915.13589890000003</v>
      </c>
      <c r="R793" s="1">
        <v>14067.096374188101</v>
      </c>
      <c r="S793" s="5">
        <f t="shared" si="38"/>
        <v>14066.096374188101</v>
      </c>
      <c r="T793" s="1">
        <v>319</v>
      </c>
      <c r="U793" s="1">
        <v>35</v>
      </c>
      <c r="V793" s="1">
        <v>9</v>
      </c>
      <c r="W793" s="1">
        <v>1610</v>
      </c>
      <c r="X793" s="1">
        <v>0.74832992280079502</v>
      </c>
    </row>
    <row r="794" spans="1:24" x14ac:dyDescent="0.3">
      <c r="A794" s="2">
        <v>45322</v>
      </c>
      <c r="B794" s="1" t="s">
        <v>25</v>
      </c>
      <c r="C794" s="1" t="s">
        <v>35</v>
      </c>
      <c r="D794" s="1" t="s">
        <v>36</v>
      </c>
      <c r="E794" s="1" t="s">
        <v>20</v>
      </c>
      <c r="F794" s="1">
        <v>31</v>
      </c>
      <c r="G794" s="1" t="str" cm="1">
        <f t="array" ref="G794">_xlfn.IFS(F794&lt;=25,"YOUTH",F794&lt;=48,"ADULT",TRUE,"SENIOR")</f>
        <v>ADULT</v>
      </c>
      <c r="H794" s="1" t="s">
        <v>21</v>
      </c>
      <c r="I794" s="1" t="s">
        <v>43</v>
      </c>
      <c r="J794" s="1" t="s">
        <v>23</v>
      </c>
      <c r="K794" s="1" t="s">
        <v>31</v>
      </c>
      <c r="L794" s="1">
        <v>30672</v>
      </c>
      <c r="M794" s="3">
        <f t="shared" si="36"/>
        <v>7.6617110067814298E-2</v>
      </c>
      <c r="N794" s="1">
        <v>2350</v>
      </c>
      <c r="O794" s="4">
        <f t="shared" si="37"/>
        <v>8.3629893238434168</v>
      </c>
      <c r="P794" s="1">
        <v>281</v>
      </c>
      <c r="Q794" s="1">
        <v>2664.8555458475798</v>
      </c>
      <c r="R794" s="1">
        <v>11375.1219596259</v>
      </c>
      <c r="S794" s="5">
        <f t="shared" si="38"/>
        <v>11374.1219596259</v>
      </c>
      <c r="T794" s="1">
        <v>338</v>
      </c>
      <c r="U794" s="1">
        <v>26</v>
      </c>
      <c r="V794" s="1">
        <v>31</v>
      </c>
      <c r="W794" s="1">
        <v>4115</v>
      </c>
      <c r="X794" s="1">
        <v>0.77868842115932502</v>
      </c>
    </row>
    <row r="795" spans="1:24" x14ac:dyDescent="0.3">
      <c r="A795" s="2">
        <v>45316</v>
      </c>
      <c r="B795" s="1" t="s">
        <v>17</v>
      </c>
      <c r="C795" s="1" t="s">
        <v>41</v>
      </c>
      <c r="D795" s="1" t="s">
        <v>27</v>
      </c>
      <c r="E795" s="1" t="s">
        <v>20</v>
      </c>
      <c r="F795" s="1">
        <v>43</v>
      </c>
      <c r="G795" s="1" t="str" cm="1">
        <f t="array" ref="G795">_xlfn.IFS(F795&lt;=25,"YOUTH",F795&lt;=48,"ADULT",TRUE,"SENIOR")</f>
        <v>ADULT</v>
      </c>
      <c r="H795" s="1" t="s">
        <v>29</v>
      </c>
      <c r="I795" s="1" t="s">
        <v>43</v>
      </c>
      <c r="J795" s="1" t="s">
        <v>23</v>
      </c>
      <c r="K795" s="1" t="s">
        <v>24</v>
      </c>
      <c r="L795" s="1">
        <v>5332</v>
      </c>
      <c r="M795" s="3">
        <f t="shared" si="36"/>
        <v>0.13615903975993998</v>
      </c>
      <c r="N795" s="1">
        <v>726</v>
      </c>
      <c r="O795" s="4">
        <f t="shared" si="37"/>
        <v>10.521739130434783</v>
      </c>
      <c r="P795" s="1">
        <v>69</v>
      </c>
      <c r="Q795" s="1">
        <v>601.18010400000003</v>
      </c>
      <c r="R795" s="1">
        <v>1861.5737689355101</v>
      </c>
      <c r="S795" s="5">
        <f t="shared" si="38"/>
        <v>1860.5737689355101</v>
      </c>
      <c r="T795" s="1">
        <v>84</v>
      </c>
      <c r="U795" s="1">
        <v>6</v>
      </c>
      <c r="V795" s="1">
        <v>5</v>
      </c>
      <c r="W795" s="1">
        <v>902</v>
      </c>
      <c r="X795" s="1">
        <v>0.762134049308413</v>
      </c>
    </row>
    <row r="796" spans="1:24" x14ac:dyDescent="0.3">
      <c r="A796" s="2">
        <v>45329</v>
      </c>
      <c r="B796" s="1" t="s">
        <v>34</v>
      </c>
      <c r="C796" s="1" t="s">
        <v>35</v>
      </c>
      <c r="D796" s="1" t="s">
        <v>32</v>
      </c>
      <c r="E796" s="1" t="s">
        <v>28</v>
      </c>
      <c r="F796" s="1">
        <v>45</v>
      </c>
      <c r="G796" s="1" t="str" cm="1">
        <f t="array" ref="G796">_xlfn.IFS(F796&lt;=25,"YOUTH",F796&lt;=48,"ADULT",TRUE,"SENIOR")</f>
        <v>ADULT</v>
      </c>
      <c r="H796" s="1" t="s">
        <v>29</v>
      </c>
      <c r="I796" s="1" t="s">
        <v>33</v>
      </c>
      <c r="J796" s="1" t="s">
        <v>23</v>
      </c>
      <c r="K796" s="1" t="s">
        <v>31</v>
      </c>
      <c r="L796" s="1">
        <v>13002</v>
      </c>
      <c r="M796" s="3">
        <f t="shared" si="36"/>
        <v>1.4843870173819412E-2</v>
      </c>
      <c r="N796" s="1">
        <v>193</v>
      </c>
      <c r="O796" s="4">
        <f t="shared" si="37"/>
        <v>17.545454545454547</v>
      </c>
      <c r="P796" s="1">
        <v>11</v>
      </c>
      <c r="Q796" s="1">
        <v>1825.5726288624901</v>
      </c>
      <c r="R796" s="1">
        <v>234.38804909300299</v>
      </c>
      <c r="S796" s="5">
        <f t="shared" si="38"/>
        <v>233.38804909300299</v>
      </c>
      <c r="T796" s="1">
        <v>305</v>
      </c>
      <c r="U796" s="1">
        <v>28</v>
      </c>
      <c r="V796" s="1">
        <v>23</v>
      </c>
      <c r="W796" s="1">
        <v>2443</v>
      </c>
      <c r="X796" s="1">
        <v>0.73181152457676502</v>
      </c>
    </row>
    <row r="797" spans="1:24" x14ac:dyDescent="0.3">
      <c r="A797" s="2">
        <v>45305</v>
      </c>
      <c r="B797" s="1" t="s">
        <v>40</v>
      </c>
      <c r="C797" s="1" t="s">
        <v>26</v>
      </c>
      <c r="D797" s="1" t="s">
        <v>19</v>
      </c>
      <c r="E797" s="1" t="s">
        <v>28</v>
      </c>
      <c r="F797" s="1">
        <v>40</v>
      </c>
      <c r="G797" s="1" t="str" cm="1">
        <f t="array" ref="G797">_xlfn.IFS(F797&lt;=25,"YOUTH",F797&lt;=48,"ADULT",TRUE,"SENIOR")</f>
        <v>ADULT</v>
      </c>
      <c r="H797" s="1" t="s">
        <v>29</v>
      </c>
      <c r="I797" s="1" t="s">
        <v>22</v>
      </c>
      <c r="J797" s="1" t="s">
        <v>23</v>
      </c>
      <c r="K797" s="1" t="s">
        <v>31</v>
      </c>
      <c r="L797" s="1">
        <v>21284</v>
      </c>
      <c r="M797" s="3">
        <f t="shared" si="36"/>
        <v>5.4782935538432623E-2</v>
      </c>
      <c r="N797" s="1">
        <v>1166</v>
      </c>
      <c r="O797" s="4">
        <f t="shared" si="37"/>
        <v>5.1140350877192979</v>
      </c>
      <c r="P797" s="1">
        <v>228</v>
      </c>
      <c r="Q797" s="1">
        <v>670.379729150348</v>
      </c>
      <c r="R797" s="1">
        <v>9940.0783485365992</v>
      </c>
      <c r="S797" s="5">
        <f t="shared" si="38"/>
        <v>9939.0783485365992</v>
      </c>
      <c r="T797" s="1">
        <v>343</v>
      </c>
      <c r="U797" s="1">
        <v>29</v>
      </c>
      <c r="V797" s="1">
        <v>13</v>
      </c>
      <c r="W797" s="1">
        <v>1496</v>
      </c>
      <c r="X797" s="1">
        <v>0.62748926699999996</v>
      </c>
    </row>
    <row r="798" spans="1:24" x14ac:dyDescent="0.3">
      <c r="A798" s="2">
        <v>45299</v>
      </c>
      <c r="B798" s="1" t="s">
        <v>34</v>
      </c>
      <c r="C798" s="1" t="s">
        <v>18</v>
      </c>
      <c r="D798" s="1" t="s">
        <v>27</v>
      </c>
      <c r="E798" s="1" t="s">
        <v>28</v>
      </c>
      <c r="F798" s="1">
        <v>31</v>
      </c>
      <c r="G798" s="1" t="str" cm="1">
        <f t="array" ref="G798">_xlfn.IFS(F798&lt;=25,"YOUTH",F798&lt;=48,"ADULT",TRUE,"SENIOR")</f>
        <v>ADULT</v>
      </c>
      <c r="H798" s="1" t="s">
        <v>29</v>
      </c>
      <c r="I798" s="1" t="s">
        <v>37</v>
      </c>
      <c r="J798" s="1" t="s">
        <v>23</v>
      </c>
      <c r="K798" s="1" t="s">
        <v>24</v>
      </c>
      <c r="L798" s="1">
        <v>16700</v>
      </c>
      <c r="M798" s="3">
        <f t="shared" si="36"/>
        <v>9.3473053892215566E-2</v>
      </c>
      <c r="N798" s="1">
        <v>1561</v>
      </c>
      <c r="O798" s="4">
        <f t="shared" si="37"/>
        <v>4.9872204472843453</v>
      </c>
      <c r="P798" s="1">
        <v>313</v>
      </c>
      <c r="Q798" s="1">
        <v>2405.9358849999999</v>
      </c>
      <c r="R798" s="1">
        <v>5797.76805863966</v>
      </c>
      <c r="S798" s="5">
        <f t="shared" si="38"/>
        <v>5796.76805863966</v>
      </c>
      <c r="T798" s="1">
        <v>112</v>
      </c>
      <c r="U798" s="1">
        <v>17</v>
      </c>
      <c r="V798" s="1">
        <v>3</v>
      </c>
      <c r="W798" s="1">
        <v>660</v>
      </c>
      <c r="X798" s="1">
        <v>0.60531773772609498</v>
      </c>
    </row>
    <row r="799" spans="1:24" x14ac:dyDescent="0.3">
      <c r="A799" s="2">
        <v>45318</v>
      </c>
      <c r="B799" s="1" t="s">
        <v>25</v>
      </c>
      <c r="C799" s="1" t="s">
        <v>26</v>
      </c>
      <c r="D799" s="1" t="s">
        <v>36</v>
      </c>
      <c r="E799" s="1" t="s">
        <v>20</v>
      </c>
      <c r="F799" s="1">
        <v>41</v>
      </c>
      <c r="G799" s="1" t="str" cm="1">
        <f t="array" ref="G799">_xlfn.IFS(F799&lt;=25,"YOUTH",F799&lt;=48,"ADULT",TRUE,"SENIOR")</f>
        <v>ADULT</v>
      </c>
      <c r="H799" s="1" t="s">
        <v>21</v>
      </c>
      <c r="I799" s="1" t="s">
        <v>37</v>
      </c>
      <c r="J799" s="1" t="s">
        <v>23</v>
      </c>
      <c r="K799" s="1" t="s">
        <v>24</v>
      </c>
      <c r="L799" s="1">
        <v>14769</v>
      </c>
      <c r="M799" s="3">
        <f t="shared" si="36"/>
        <v>9.4657729027016052E-2</v>
      </c>
      <c r="N799" s="1">
        <v>1398</v>
      </c>
      <c r="O799" s="4">
        <f t="shared" si="37"/>
        <v>6.6571428571428575</v>
      </c>
      <c r="P799" s="1">
        <v>210</v>
      </c>
      <c r="Q799" s="1">
        <v>2064.2924571368599</v>
      </c>
      <c r="R799" s="1">
        <v>5470.5646015030898</v>
      </c>
      <c r="S799" s="5">
        <f t="shared" si="38"/>
        <v>5469.5646015030898</v>
      </c>
      <c r="T799" s="1">
        <v>136</v>
      </c>
      <c r="U799" s="1">
        <v>10</v>
      </c>
      <c r="V799" s="1">
        <v>11</v>
      </c>
      <c r="W799" s="1">
        <v>354</v>
      </c>
      <c r="X799" s="1">
        <v>0.71052123210673901</v>
      </c>
    </row>
    <row r="800" spans="1:24" x14ac:dyDescent="0.3">
      <c r="A800" s="2">
        <v>45345</v>
      </c>
      <c r="B800" s="1" t="s">
        <v>17</v>
      </c>
      <c r="C800" s="1" t="s">
        <v>26</v>
      </c>
      <c r="D800" s="1" t="s">
        <v>19</v>
      </c>
      <c r="E800" s="1" t="s">
        <v>28</v>
      </c>
      <c r="F800" s="1">
        <v>19</v>
      </c>
      <c r="G800" s="1" t="str" cm="1">
        <f t="array" ref="G800">_xlfn.IFS(F800&lt;=25,"YOUTH",F800&lt;=48,"ADULT",TRUE,"SENIOR")</f>
        <v>YOUTH</v>
      </c>
      <c r="H800" s="1" t="s">
        <v>21</v>
      </c>
      <c r="I800" s="1" t="s">
        <v>22</v>
      </c>
      <c r="J800" s="1" t="s">
        <v>23</v>
      </c>
      <c r="K800" s="1" t="s">
        <v>39</v>
      </c>
      <c r="L800" s="1">
        <v>30318</v>
      </c>
      <c r="M800" s="3">
        <f t="shared" si="36"/>
        <v>7.7214855861204565E-2</v>
      </c>
      <c r="N800" s="1">
        <v>2341</v>
      </c>
      <c r="O800" s="4">
        <f t="shared" si="37"/>
        <v>4.1654804270462638</v>
      </c>
      <c r="P800" s="1">
        <v>562</v>
      </c>
      <c r="Q800" s="1">
        <v>819.18957020000005</v>
      </c>
      <c r="R800" s="1">
        <v>26062.4522028928</v>
      </c>
      <c r="S800" s="5">
        <f t="shared" si="38"/>
        <v>26061.4522028928</v>
      </c>
      <c r="T800" s="1">
        <v>751</v>
      </c>
      <c r="U800" s="1">
        <v>98</v>
      </c>
      <c r="V800" s="1">
        <v>36</v>
      </c>
      <c r="W800" s="1">
        <v>4556</v>
      </c>
      <c r="X800" s="1">
        <v>0.43503670636637898</v>
      </c>
    </row>
    <row r="801" spans="1:24" x14ac:dyDescent="0.3">
      <c r="A801" s="2">
        <v>45293</v>
      </c>
      <c r="B801" s="1" t="s">
        <v>25</v>
      </c>
      <c r="C801" s="1" t="s">
        <v>41</v>
      </c>
      <c r="D801" s="1" t="s">
        <v>19</v>
      </c>
      <c r="E801" s="1" t="s">
        <v>28</v>
      </c>
      <c r="F801" s="1">
        <v>43</v>
      </c>
      <c r="G801" s="1" t="str" cm="1">
        <f t="array" ref="G801">_xlfn.IFS(F801&lt;=25,"YOUTH",F801&lt;=48,"ADULT",TRUE,"SENIOR")</f>
        <v>ADULT</v>
      </c>
      <c r="H801" s="1" t="s">
        <v>21</v>
      </c>
      <c r="I801" s="1" t="s">
        <v>37</v>
      </c>
      <c r="J801" s="1" t="s">
        <v>23</v>
      </c>
      <c r="K801" s="1" t="s">
        <v>31</v>
      </c>
      <c r="L801" s="1">
        <v>25323</v>
      </c>
      <c r="M801" s="3">
        <f t="shared" si="36"/>
        <v>0.12415590569837696</v>
      </c>
      <c r="N801" s="1">
        <v>3144</v>
      </c>
      <c r="O801" s="4">
        <f t="shared" si="37"/>
        <v>10.767123287671232</v>
      </c>
      <c r="P801" s="1">
        <v>292</v>
      </c>
      <c r="Q801" s="1">
        <v>1692.63358206924</v>
      </c>
      <c r="R801" s="1">
        <v>18191.713668704499</v>
      </c>
      <c r="S801" s="5">
        <f t="shared" si="38"/>
        <v>18190.713668704499</v>
      </c>
      <c r="T801" s="1">
        <v>537</v>
      </c>
      <c r="U801" s="1">
        <v>106</v>
      </c>
      <c r="V801" s="1">
        <v>30</v>
      </c>
      <c r="W801" s="1">
        <v>4079</v>
      </c>
      <c r="X801" s="1">
        <v>0.88170091312833898</v>
      </c>
    </row>
    <row r="802" spans="1:24" x14ac:dyDescent="0.3">
      <c r="A802" s="2">
        <v>45308</v>
      </c>
      <c r="B802" s="1" t="s">
        <v>25</v>
      </c>
      <c r="C802" s="1" t="s">
        <v>35</v>
      </c>
      <c r="D802" s="1" t="s">
        <v>19</v>
      </c>
      <c r="E802" s="1" t="s">
        <v>20</v>
      </c>
      <c r="F802" s="1">
        <v>31</v>
      </c>
      <c r="G802" s="1" t="str" cm="1">
        <f t="array" ref="G802">_xlfn.IFS(F802&lt;=25,"YOUTH",F802&lt;=48,"ADULT",TRUE,"SENIOR")</f>
        <v>ADULT</v>
      </c>
      <c r="H802" s="1" t="s">
        <v>29</v>
      </c>
      <c r="I802" s="1" t="s">
        <v>43</v>
      </c>
      <c r="J802" s="1" t="s">
        <v>23</v>
      </c>
      <c r="K802" s="1" t="s">
        <v>31</v>
      </c>
      <c r="L802" s="1">
        <v>28610</v>
      </c>
      <c r="M802" s="3">
        <f t="shared" si="36"/>
        <v>1.8769660957707095E-2</v>
      </c>
      <c r="N802" s="1">
        <v>537</v>
      </c>
      <c r="O802" s="4">
        <f t="shared" si="37"/>
        <v>14.513513513513514</v>
      </c>
      <c r="P802" s="1">
        <v>37</v>
      </c>
      <c r="Q802" s="1">
        <v>3596.5242115403198</v>
      </c>
      <c r="R802" s="1">
        <v>1466.6012397817899</v>
      </c>
      <c r="S802" s="5">
        <f t="shared" si="38"/>
        <v>1465.6012397817899</v>
      </c>
      <c r="T802" s="1">
        <v>550</v>
      </c>
      <c r="U802" s="1">
        <v>63</v>
      </c>
      <c r="V802" s="1">
        <v>12</v>
      </c>
      <c r="W802" s="1">
        <v>2511</v>
      </c>
      <c r="X802" s="1">
        <v>0.85392332866668796</v>
      </c>
    </row>
    <row r="803" spans="1:24" x14ac:dyDescent="0.3">
      <c r="A803" s="2">
        <v>45328</v>
      </c>
      <c r="B803" s="1" t="s">
        <v>25</v>
      </c>
      <c r="C803" s="1" t="s">
        <v>18</v>
      </c>
      <c r="D803" s="1" t="s">
        <v>27</v>
      </c>
      <c r="E803" s="1" t="s">
        <v>20</v>
      </c>
      <c r="F803" s="1">
        <v>24</v>
      </c>
      <c r="G803" s="1" t="str" cm="1">
        <f t="array" ref="G803">_xlfn.IFS(F803&lt;=25,"YOUTH",F803&lt;=48,"ADULT",TRUE,"SENIOR")</f>
        <v>YOUTH</v>
      </c>
      <c r="H803" s="1" t="s">
        <v>29</v>
      </c>
      <c r="I803" s="1" t="s">
        <v>43</v>
      </c>
      <c r="J803" s="1" t="s">
        <v>23</v>
      </c>
      <c r="K803" s="1" t="s">
        <v>31</v>
      </c>
      <c r="L803" s="1">
        <v>7963</v>
      </c>
      <c r="M803" s="3">
        <f t="shared" si="36"/>
        <v>0.1240738415170162</v>
      </c>
      <c r="N803" s="1">
        <v>988</v>
      </c>
      <c r="O803" s="4">
        <f t="shared" si="37"/>
        <v>5.7109826589595372</v>
      </c>
      <c r="P803" s="1">
        <v>173</v>
      </c>
      <c r="Q803" s="1">
        <v>792.357924114821</v>
      </c>
      <c r="R803" s="1">
        <v>9401.1514488732901</v>
      </c>
      <c r="S803" s="5">
        <f t="shared" si="38"/>
        <v>9400.1514488732901</v>
      </c>
      <c r="T803" s="1">
        <v>73</v>
      </c>
      <c r="U803" s="1">
        <v>10</v>
      </c>
      <c r="V803" s="1">
        <v>3</v>
      </c>
      <c r="W803" s="1">
        <v>678</v>
      </c>
      <c r="X803" s="1">
        <v>0.59051159437045397</v>
      </c>
    </row>
    <row r="804" spans="1:24" x14ac:dyDescent="0.3">
      <c r="A804" s="2">
        <v>45305</v>
      </c>
      <c r="B804" s="1" t="s">
        <v>40</v>
      </c>
      <c r="C804" s="1" t="s">
        <v>26</v>
      </c>
      <c r="D804" s="1" t="s">
        <v>27</v>
      </c>
      <c r="E804" s="1" t="s">
        <v>20</v>
      </c>
      <c r="F804" s="1">
        <v>20</v>
      </c>
      <c r="G804" s="1" t="str" cm="1">
        <f t="array" ref="G804">_xlfn.IFS(F804&lt;=25,"YOUTH",F804&lt;=48,"ADULT",TRUE,"SENIOR")</f>
        <v>YOUTH</v>
      </c>
      <c r="H804" s="1" t="s">
        <v>29</v>
      </c>
      <c r="I804" s="1" t="s">
        <v>37</v>
      </c>
      <c r="J804" s="1" t="s">
        <v>23</v>
      </c>
      <c r="K804" s="1" t="s">
        <v>31</v>
      </c>
      <c r="L804" s="1">
        <v>8838</v>
      </c>
      <c r="M804" s="3">
        <f t="shared" si="36"/>
        <v>7.9203439692238059E-2</v>
      </c>
      <c r="N804" s="1">
        <v>700</v>
      </c>
      <c r="O804" s="4">
        <f t="shared" si="37"/>
        <v>5.1470588235294121</v>
      </c>
      <c r="P804" s="1">
        <v>136</v>
      </c>
      <c r="Q804" s="1">
        <v>1071.8921953090501</v>
      </c>
      <c r="R804" s="1">
        <v>7425.4557372652898</v>
      </c>
      <c r="S804" s="5">
        <f t="shared" si="38"/>
        <v>7424.4557372652898</v>
      </c>
      <c r="T804" s="1">
        <v>229</v>
      </c>
      <c r="U804" s="1">
        <v>44</v>
      </c>
      <c r="V804" s="1">
        <v>18</v>
      </c>
      <c r="W804" s="1">
        <v>1690</v>
      </c>
      <c r="X804" s="1">
        <v>0.71175051786209698</v>
      </c>
    </row>
    <row r="805" spans="1:24" x14ac:dyDescent="0.3">
      <c r="A805" s="2">
        <v>45316</v>
      </c>
      <c r="B805" s="1" t="s">
        <v>17</v>
      </c>
      <c r="C805" s="1" t="s">
        <v>35</v>
      </c>
      <c r="D805" s="1" t="s">
        <v>27</v>
      </c>
      <c r="E805" s="1" t="s">
        <v>28</v>
      </c>
      <c r="F805" s="1">
        <v>40</v>
      </c>
      <c r="G805" s="1" t="str" cm="1">
        <f t="array" ref="G805">_xlfn.IFS(F805&lt;=25,"YOUTH",F805&lt;=48,"ADULT",TRUE,"SENIOR")</f>
        <v>ADULT</v>
      </c>
      <c r="H805" s="1" t="s">
        <v>29</v>
      </c>
      <c r="I805" s="1" t="s">
        <v>43</v>
      </c>
      <c r="J805" s="1" t="s">
        <v>23</v>
      </c>
      <c r="K805" s="1" t="s">
        <v>31</v>
      </c>
      <c r="L805" s="1">
        <v>46167</v>
      </c>
      <c r="M805" s="3">
        <f t="shared" si="36"/>
        <v>2.8721814282929366E-2</v>
      </c>
      <c r="N805" s="1">
        <v>1326</v>
      </c>
      <c r="O805" s="4">
        <f t="shared" si="37"/>
        <v>13.957894736842105</v>
      </c>
      <c r="P805" s="1">
        <v>95</v>
      </c>
      <c r="Q805" s="1">
        <v>5238.7695797486504</v>
      </c>
      <c r="R805" s="1">
        <v>4577.3856576717099</v>
      </c>
      <c r="S805" s="5">
        <f t="shared" si="38"/>
        <v>4576.3856576717099</v>
      </c>
      <c r="T805" s="1">
        <v>1339</v>
      </c>
      <c r="U805" s="1">
        <v>94</v>
      </c>
      <c r="V805" s="1">
        <v>114</v>
      </c>
      <c r="W805" s="1">
        <v>8502</v>
      </c>
      <c r="X805" s="1">
        <v>0.912725234001454</v>
      </c>
    </row>
    <row r="806" spans="1:24" x14ac:dyDescent="0.3">
      <c r="A806" s="2">
        <v>45347</v>
      </c>
      <c r="B806" s="1" t="s">
        <v>17</v>
      </c>
      <c r="C806" s="1" t="s">
        <v>35</v>
      </c>
      <c r="D806" s="1" t="s">
        <v>19</v>
      </c>
      <c r="E806" s="1" t="s">
        <v>20</v>
      </c>
      <c r="F806" s="1">
        <v>35</v>
      </c>
      <c r="G806" s="1" t="str" cm="1">
        <f t="array" ref="G806">_xlfn.IFS(F806&lt;=25,"YOUTH",F806&lt;=48,"ADULT",TRUE,"SENIOR")</f>
        <v>ADULT</v>
      </c>
      <c r="H806" s="1" t="s">
        <v>21</v>
      </c>
      <c r="I806" s="1" t="s">
        <v>43</v>
      </c>
      <c r="J806" s="1" t="s">
        <v>23</v>
      </c>
      <c r="K806" s="1" t="s">
        <v>31</v>
      </c>
      <c r="L806" s="1">
        <v>13243</v>
      </c>
      <c r="M806" s="3">
        <f t="shared" si="36"/>
        <v>0.13395756248584156</v>
      </c>
      <c r="N806" s="1">
        <v>1774</v>
      </c>
      <c r="O806" s="4">
        <f t="shared" si="37"/>
        <v>26.878787878787879</v>
      </c>
      <c r="P806" s="1">
        <v>66</v>
      </c>
      <c r="Q806" s="1">
        <v>1120.09445905859</v>
      </c>
      <c r="R806" s="1">
        <v>1384.6464686494201</v>
      </c>
      <c r="S806" s="5">
        <f t="shared" si="38"/>
        <v>1383.6464686494201</v>
      </c>
      <c r="T806" s="1">
        <v>79</v>
      </c>
      <c r="U806" s="1">
        <v>8</v>
      </c>
      <c r="V806" s="1">
        <v>5</v>
      </c>
      <c r="W806" s="1">
        <v>719</v>
      </c>
      <c r="X806" s="1">
        <v>0.54940023857665299</v>
      </c>
    </row>
    <row r="807" spans="1:24" x14ac:dyDescent="0.3">
      <c r="A807" s="2">
        <v>45321</v>
      </c>
      <c r="B807" s="1" t="s">
        <v>40</v>
      </c>
      <c r="C807" s="1" t="s">
        <v>41</v>
      </c>
      <c r="D807" s="1" t="s">
        <v>19</v>
      </c>
      <c r="E807" s="1" t="s">
        <v>28</v>
      </c>
      <c r="F807" s="1">
        <v>55</v>
      </c>
      <c r="G807" s="1" t="str" cm="1">
        <f t="array" ref="G807">_xlfn.IFS(F807&lt;=25,"YOUTH",F807&lt;=48,"ADULT",TRUE,"SENIOR")</f>
        <v>SENIOR</v>
      </c>
      <c r="H807" s="1" t="s">
        <v>29</v>
      </c>
      <c r="I807" s="1" t="s">
        <v>37</v>
      </c>
      <c r="J807" s="1" t="s">
        <v>38</v>
      </c>
      <c r="K807" s="1" t="s">
        <v>24</v>
      </c>
      <c r="L807" s="1">
        <v>28939</v>
      </c>
      <c r="M807" s="3">
        <f t="shared" si="36"/>
        <v>0.10086734164967691</v>
      </c>
      <c r="N807" s="1">
        <v>2919</v>
      </c>
      <c r="O807" s="4">
        <f t="shared" si="37"/>
        <v>4.8488372093023253</v>
      </c>
      <c r="P807" s="1">
        <v>602</v>
      </c>
      <c r="Q807" s="1">
        <v>733.84517413351</v>
      </c>
      <c r="R807" s="1">
        <v>36927.437845618901</v>
      </c>
      <c r="S807" s="5">
        <f t="shared" si="38"/>
        <v>36926.437845618901</v>
      </c>
      <c r="T807" s="1">
        <v>201</v>
      </c>
      <c r="U807" s="1">
        <v>35</v>
      </c>
      <c r="V807" s="1">
        <v>15</v>
      </c>
      <c r="W807" s="1">
        <v>4582</v>
      </c>
      <c r="X807" s="1">
        <v>0.80835039723216895</v>
      </c>
    </row>
    <row r="808" spans="1:24" x14ac:dyDescent="0.3">
      <c r="A808" s="2">
        <v>45320</v>
      </c>
      <c r="B808" s="1" t="s">
        <v>17</v>
      </c>
      <c r="C808" s="1" t="s">
        <v>41</v>
      </c>
      <c r="D808" s="1" t="s">
        <v>32</v>
      </c>
      <c r="E808" s="1" t="s">
        <v>28</v>
      </c>
      <c r="F808" s="1">
        <v>52</v>
      </c>
      <c r="G808" s="1" t="str" cm="1">
        <f t="array" ref="G808">_xlfn.IFS(F808&lt;=25,"YOUTH",F808&lt;=48,"ADULT",TRUE,"SENIOR")</f>
        <v>SENIOR</v>
      </c>
      <c r="H808" s="1" t="s">
        <v>21</v>
      </c>
      <c r="I808" s="1" t="s">
        <v>33</v>
      </c>
      <c r="J808" s="1" t="s">
        <v>23</v>
      </c>
      <c r="K808" s="1" t="s">
        <v>31</v>
      </c>
      <c r="L808" s="1">
        <v>2845</v>
      </c>
      <c r="M808" s="3">
        <f t="shared" si="36"/>
        <v>3.2688927943760986E-2</v>
      </c>
      <c r="N808" s="1">
        <v>93</v>
      </c>
      <c r="O808" s="4">
        <f t="shared" si="37"/>
        <v>4.2272727272727275</v>
      </c>
      <c r="P808" s="1">
        <v>22</v>
      </c>
      <c r="Q808" s="1">
        <v>272.99159453355497</v>
      </c>
      <c r="R808" s="1">
        <v>733.87418756457998</v>
      </c>
      <c r="S808" s="5">
        <f t="shared" si="38"/>
        <v>732.87418756457998</v>
      </c>
      <c r="T808" s="1">
        <v>77</v>
      </c>
      <c r="U808" s="1">
        <v>14</v>
      </c>
      <c r="V808" s="1">
        <v>4</v>
      </c>
      <c r="W808" s="1">
        <v>365</v>
      </c>
      <c r="X808" s="1">
        <v>0.44550249402655201</v>
      </c>
    </row>
    <row r="809" spans="1:24" x14ac:dyDescent="0.3">
      <c r="A809" s="2">
        <v>45311</v>
      </c>
      <c r="B809" s="1" t="s">
        <v>25</v>
      </c>
      <c r="C809" s="1" t="s">
        <v>41</v>
      </c>
      <c r="D809" s="1" t="s">
        <v>32</v>
      </c>
      <c r="E809" s="1" t="s">
        <v>20</v>
      </c>
      <c r="F809" s="1">
        <v>32</v>
      </c>
      <c r="G809" s="1" t="str" cm="1">
        <f t="array" ref="G809">_xlfn.IFS(F809&lt;=25,"YOUTH",F809&lt;=48,"ADULT",TRUE,"SENIOR")</f>
        <v>ADULT</v>
      </c>
      <c r="H809" s="1" t="s">
        <v>29</v>
      </c>
      <c r="I809" s="1" t="s">
        <v>22</v>
      </c>
      <c r="J809" s="1" t="s">
        <v>38</v>
      </c>
      <c r="K809" s="1" t="s">
        <v>39</v>
      </c>
      <c r="L809" s="1">
        <v>47710</v>
      </c>
      <c r="M809" s="3">
        <f t="shared" si="36"/>
        <v>1.4692936491301614E-2</v>
      </c>
      <c r="N809" s="1">
        <v>701</v>
      </c>
      <c r="O809" s="4">
        <f t="shared" si="37"/>
        <v>5.9914529914529915</v>
      </c>
      <c r="P809" s="1">
        <v>117</v>
      </c>
      <c r="Q809" s="1">
        <v>1255.42495226967</v>
      </c>
      <c r="R809" s="1">
        <v>921.22270763100198</v>
      </c>
      <c r="S809" s="5">
        <f t="shared" si="38"/>
        <v>920.22270763100198</v>
      </c>
      <c r="T809" s="1">
        <v>1211</v>
      </c>
      <c r="U809" s="1">
        <v>169</v>
      </c>
      <c r="V809" s="1">
        <v>76</v>
      </c>
      <c r="W809" s="1">
        <v>1875</v>
      </c>
      <c r="X809" s="1">
        <v>0.68785468100000002</v>
      </c>
    </row>
    <row r="810" spans="1:24" x14ac:dyDescent="0.3">
      <c r="A810" s="2">
        <v>45312</v>
      </c>
      <c r="B810" s="1" t="s">
        <v>17</v>
      </c>
      <c r="C810" s="1" t="s">
        <v>18</v>
      </c>
      <c r="D810" s="1" t="s">
        <v>27</v>
      </c>
      <c r="E810" s="1" t="s">
        <v>20</v>
      </c>
      <c r="F810" s="1">
        <v>42</v>
      </c>
      <c r="G810" s="1" t="str" cm="1">
        <f t="array" ref="G810">_xlfn.IFS(F810&lt;=25,"YOUTH",F810&lt;=48,"ADULT",TRUE,"SENIOR")</f>
        <v>ADULT</v>
      </c>
      <c r="H810" s="1" t="s">
        <v>29</v>
      </c>
      <c r="I810" s="1" t="s">
        <v>43</v>
      </c>
      <c r="J810" s="1" t="s">
        <v>23</v>
      </c>
      <c r="K810" s="1" t="s">
        <v>39</v>
      </c>
      <c r="L810" s="1">
        <v>17766</v>
      </c>
      <c r="M810" s="3">
        <f t="shared" si="36"/>
        <v>2.971968929415738E-2</v>
      </c>
      <c r="N810" s="1">
        <v>528</v>
      </c>
      <c r="O810" s="4">
        <f t="shared" si="37"/>
        <v>12</v>
      </c>
      <c r="P810" s="1">
        <v>44</v>
      </c>
      <c r="Q810" s="1">
        <v>1749.6751522847801</v>
      </c>
      <c r="R810" s="1">
        <v>919.59223639884101</v>
      </c>
      <c r="S810" s="5">
        <f t="shared" si="38"/>
        <v>918.59223639884101</v>
      </c>
      <c r="T810" s="1">
        <v>363</v>
      </c>
      <c r="U810" s="1">
        <v>25</v>
      </c>
      <c r="V810" s="1">
        <v>28</v>
      </c>
      <c r="W810" s="1">
        <v>1381</v>
      </c>
      <c r="X810" s="1">
        <v>0.886183021196013</v>
      </c>
    </row>
    <row r="811" spans="1:24" x14ac:dyDescent="0.3">
      <c r="A811" s="2">
        <v>45344</v>
      </c>
      <c r="B811" s="1" t="s">
        <v>40</v>
      </c>
      <c r="C811" s="1" t="s">
        <v>26</v>
      </c>
      <c r="D811" s="1" t="s">
        <v>27</v>
      </c>
      <c r="E811" s="1" t="s">
        <v>20</v>
      </c>
      <c r="F811" s="1">
        <v>54</v>
      </c>
      <c r="G811" s="1" t="str" cm="1">
        <f t="array" ref="G811">_xlfn.IFS(F811&lt;=25,"YOUTH",F811&lt;=48,"ADULT",TRUE,"SENIOR")</f>
        <v>SENIOR</v>
      </c>
      <c r="H811" s="1" t="s">
        <v>29</v>
      </c>
      <c r="I811" s="1" t="s">
        <v>33</v>
      </c>
      <c r="J811" s="1" t="s">
        <v>23</v>
      </c>
      <c r="K811" s="1" t="s">
        <v>31</v>
      </c>
      <c r="L811" s="1">
        <v>37880</v>
      </c>
      <c r="M811" s="3">
        <f t="shared" si="36"/>
        <v>9.5221752903907081E-2</v>
      </c>
      <c r="N811" s="1">
        <v>3607</v>
      </c>
      <c r="O811" s="4">
        <f t="shared" si="37"/>
        <v>4.0167037861915365</v>
      </c>
      <c r="P811" s="1">
        <v>898</v>
      </c>
      <c r="Q811" s="1">
        <v>4699.1432512638603</v>
      </c>
      <c r="R811" s="1">
        <v>49175.057428777</v>
      </c>
      <c r="S811" s="5">
        <f t="shared" si="38"/>
        <v>49174.057428777</v>
      </c>
      <c r="T811" s="1">
        <v>1084</v>
      </c>
      <c r="U811" s="1">
        <v>200</v>
      </c>
      <c r="V811" s="1">
        <v>43</v>
      </c>
      <c r="W811" s="1">
        <v>1656</v>
      </c>
      <c r="X811" s="1">
        <v>0.70344010628199005</v>
      </c>
    </row>
    <row r="812" spans="1:24" x14ac:dyDescent="0.3">
      <c r="A812" s="2">
        <v>45313</v>
      </c>
      <c r="B812" s="1" t="s">
        <v>25</v>
      </c>
      <c r="C812" s="1" t="s">
        <v>41</v>
      </c>
      <c r="D812" s="1" t="s">
        <v>36</v>
      </c>
      <c r="E812" s="1" t="s">
        <v>20</v>
      </c>
      <c r="F812" s="1">
        <v>45</v>
      </c>
      <c r="G812" s="1" t="str" cm="1">
        <f t="array" ref="G812">_xlfn.IFS(F812&lt;=25,"YOUTH",F812&lt;=48,"ADULT",TRUE,"SENIOR")</f>
        <v>ADULT</v>
      </c>
      <c r="H812" s="1" t="s">
        <v>21</v>
      </c>
      <c r="I812" s="1" t="s">
        <v>43</v>
      </c>
      <c r="J812" s="1" t="s">
        <v>23</v>
      </c>
      <c r="K812" s="1" t="s">
        <v>39</v>
      </c>
      <c r="L812" s="1">
        <v>13780</v>
      </c>
      <c r="M812" s="3">
        <f t="shared" si="36"/>
        <v>3.5050798258345429E-2</v>
      </c>
      <c r="N812" s="1">
        <v>483</v>
      </c>
      <c r="O812" s="4">
        <f t="shared" si="37"/>
        <v>4.4722222222222223</v>
      </c>
      <c r="P812" s="1">
        <v>108</v>
      </c>
      <c r="Q812" s="1">
        <v>1323.55421862461</v>
      </c>
      <c r="R812" s="1">
        <v>1025.3160174387699</v>
      </c>
      <c r="S812" s="5">
        <f t="shared" si="38"/>
        <v>1024.3160174387699</v>
      </c>
      <c r="T812" s="1">
        <v>291</v>
      </c>
      <c r="U812" s="1">
        <v>22</v>
      </c>
      <c r="V812" s="1">
        <v>11</v>
      </c>
      <c r="W812" s="1">
        <v>910</v>
      </c>
      <c r="X812" s="1">
        <v>0.738939054760405</v>
      </c>
    </row>
    <row r="813" spans="1:24" x14ac:dyDescent="0.3">
      <c r="A813" s="2">
        <v>45326</v>
      </c>
      <c r="B813" s="1" t="s">
        <v>40</v>
      </c>
      <c r="C813" s="1" t="s">
        <v>41</v>
      </c>
      <c r="D813" s="1" t="s">
        <v>27</v>
      </c>
      <c r="E813" s="1" t="s">
        <v>20</v>
      </c>
      <c r="F813" s="1">
        <v>27</v>
      </c>
      <c r="G813" s="1" t="str" cm="1">
        <f t="array" ref="G813">_xlfn.IFS(F813&lt;=25,"YOUTH",F813&lt;=48,"ADULT",TRUE,"SENIOR")</f>
        <v>ADULT</v>
      </c>
      <c r="H813" s="1" t="s">
        <v>21</v>
      </c>
      <c r="I813" s="1" t="s">
        <v>43</v>
      </c>
      <c r="J813" s="1" t="s">
        <v>23</v>
      </c>
      <c r="K813" s="1" t="s">
        <v>31</v>
      </c>
      <c r="L813" s="1">
        <v>49458</v>
      </c>
      <c r="M813" s="3">
        <f t="shared" si="36"/>
        <v>4.1590844757167698E-2</v>
      </c>
      <c r="N813" s="1">
        <v>2057</v>
      </c>
      <c r="O813" s="4">
        <f t="shared" si="37"/>
        <v>7.242957746478873</v>
      </c>
      <c r="P813" s="1">
        <v>284</v>
      </c>
      <c r="Q813" s="1">
        <v>7399.55157330161</v>
      </c>
      <c r="R813" s="1">
        <v>4140.3468640000001</v>
      </c>
      <c r="S813" s="5">
        <f t="shared" si="38"/>
        <v>4139.3468640000001</v>
      </c>
      <c r="T813" s="1">
        <v>514</v>
      </c>
      <c r="U813" s="1">
        <v>52</v>
      </c>
      <c r="V813" s="1">
        <v>49</v>
      </c>
      <c r="W813" s="1">
        <v>6276</v>
      </c>
      <c r="X813" s="1">
        <v>0.89920161132024901</v>
      </c>
    </row>
    <row r="814" spans="1:24" x14ac:dyDescent="0.3">
      <c r="A814" s="2">
        <v>45328</v>
      </c>
      <c r="B814" s="1" t="s">
        <v>34</v>
      </c>
      <c r="C814" s="1" t="s">
        <v>41</v>
      </c>
      <c r="D814" s="1" t="s">
        <v>32</v>
      </c>
      <c r="E814" s="1" t="s">
        <v>28</v>
      </c>
      <c r="F814" s="1">
        <v>56</v>
      </c>
      <c r="G814" s="1" t="str" cm="1">
        <f t="array" ref="G814">_xlfn.IFS(F814&lt;=25,"YOUTH",F814&lt;=48,"ADULT",TRUE,"SENIOR")</f>
        <v>SENIOR</v>
      </c>
      <c r="H814" s="1" t="s">
        <v>29</v>
      </c>
      <c r="I814" s="1" t="s">
        <v>22</v>
      </c>
      <c r="J814" s="1" t="s">
        <v>23</v>
      </c>
      <c r="K814" s="1" t="s">
        <v>31</v>
      </c>
      <c r="L814" s="1">
        <v>43856</v>
      </c>
      <c r="M814" s="3">
        <f t="shared" si="36"/>
        <v>1.34987230937614E-2</v>
      </c>
      <c r="N814" s="1">
        <v>592</v>
      </c>
      <c r="O814" s="4">
        <f t="shared" si="37"/>
        <v>4.774193548387097</v>
      </c>
      <c r="P814" s="1">
        <v>124</v>
      </c>
      <c r="Q814" s="1">
        <v>3476.1425601486899</v>
      </c>
      <c r="R814" s="1">
        <v>6215.4681372961304</v>
      </c>
      <c r="S814" s="5">
        <f t="shared" si="38"/>
        <v>6214.4681372961304</v>
      </c>
      <c r="T814" s="1">
        <v>1018</v>
      </c>
      <c r="U814" s="1">
        <v>108</v>
      </c>
      <c r="V814" s="1">
        <v>22</v>
      </c>
      <c r="W814" s="1">
        <v>3565</v>
      </c>
      <c r="X814" s="1">
        <v>0.79344835202739095</v>
      </c>
    </row>
    <row r="815" spans="1:24" x14ac:dyDescent="0.3">
      <c r="A815" s="2">
        <v>45307</v>
      </c>
      <c r="B815" s="1" t="s">
        <v>25</v>
      </c>
      <c r="C815" s="1" t="s">
        <v>26</v>
      </c>
      <c r="D815" s="1" t="s">
        <v>32</v>
      </c>
      <c r="E815" s="1" t="s">
        <v>28</v>
      </c>
      <c r="F815" s="1">
        <v>34</v>
      </c>
      <c r="G815" s="1" t="str" cm="1">
        <f t="array" ref="G815">_xlfn.IFS(F815&lt;=25,"YOUTH",F815&lt;=48,"ADULT",TRUE,"SENIOR")</f>
        <v>ADULT</v>
      </c>
      <c r="H815" s="1" t="s">
        <v>29</v>
      </c>
      <c r="I815" s="1" t="s">
        <v>43</v>
      </c>
      <c r="J815" s="1" t="s">
        <v>38</v>
      </c>
      <c r="K815" s="1" t="s">
        <v>39</v>
      </c>
      <c r="L815" s="1">
        <v>2509</v>
      </c>
      <c r="M815" s="3">
        <f t="shared" si="36"/>
        <v>0.11119968114786767</v>
      </c>
      <c r="N815" s="1">
        <v>279</v>
      </c>
      <c r="O815" s="4">
        <f t="shared" si="37"/>
        <v>4.8947368421052628</v>
      </c>
      <c r="P815" s="1">
        <v>57</v>
      </c>
      <c r="Q815" s="1">
        <v>294.42505380371199</v>
      </c>
      <c r="R815" s="1">
        <v>3592.0859259405302</v>
      </c>
      <c r="S815" s="5">
        <f t="shared" si="38"/>
        <v>3591.0859259405302</v>
      </c>
      <c r="T815" s="1">
        <v>53</v>
      </c>
      <c r="U815" s="1">
        <v>6</v>
      </c>
      <c r="V815" s="1">
        <v>1</v>
      </c>
      <c r="W815" s="1">
        <v>212</v>
      </c>
      <c r="X815" s="1">
        <v>0.78272832400000003</v>
      </c>
    </row>
    <row r="816" spans="1:24" x14ac:dyDescent="0.3">
      <c r="A816" s="2">
        <v>45341</v>
      </c>
      <c r="B816" s="1" t="s">
        <v>25</v>
      </c>
      <c r="C816" s="1" t="s">
        <v>26</v>
      </c>
      <c r="D816" s="1" t="s">
        <v>32</v>
      </c>
      <c r="E816" s="1" t="s">
        <v>28</v>
      </c>
      <c r="F816" s="1">
        <v>56</v>
      </c>
      <c r="G816" s="1" t="str" cm="1">
        <f t="array" ref="G816">_xlfn.IFS(F816&lt;=25,"YOUTH",F816&lt;=48,"ADULT",TRUE,"SENIOR")</f>
        <v>SENIOR</v>
      </c>
      <c r="H816" s="1" t="s">
        <v>21</v>
      </c>
      <c r="I816" s="1" t="s">
        <v>22</v>
      </c>
      <c r="J816" s="1" t="s">
        <v>23</v>
      </c>
      <c r="K816" s="1" t="s">
        <v>31</v>
      </c>
      <c r="L816" s="1">
        <v>24957</v>
      </c>
      <c r="M816" s="3">
        <f t="shared" si="36"/>
        <v>0.12341226910285691</v>
      </c>
      <c r="N816" s="1">
        <v>3080</v>
      </c>
      <c r="O816" s="4">
        <f t="shared" si="37"/>
        <v>4.260027662517289</v>
      </c>
      <c r="P816" s="1">
        <v>723</v>
      </c>
      <c r="Q816" s="1">
        <v>2663.85347586036</v>
      </c>
      <c r="R816" s="1">
        <v>33397.235577683598</v>
      </c>
      <c r="S816" s="5">
        <f t="shared" si="38"/>
        <v>33396.235577683598</v>
      </c>
      <c r="T816" s="1">
        <v>739</v>
      </c>
      <c r="U816" s="1">
        <v>124</v>
      </c>
      <c r="V816" s="1">
        <v>48</v>
      </c>
      <c r="W816" s="1">
        <v>2808</v>
      </c>
      <c r="X816" s="1">
        <v>0.72251121215109404</v>
      </c>
    </row>
    <row r="817" spans="1:24" x14ac:dyDescent="0.3">
      <c r="A817" s="2">
        <v>45349</v>
      </c>
      <c r="B817" s="1" t="s">
        <v>17</v>
      </c>
      <c r="C817" s="1" t="s">
        <v>41</v>
      </c>
      <c r="D817" s="1" t="s">
        <v>19</v>
      </c>
      <c r="E817" s="1" t="s">
        <v>20</v>
      </c>
      <c r="F817" s="1">
        <v>39</v>
      </c>
      <c r="G817" s="1" t="str" cm="1">
        <f t="array" ref="G817">_xlfn.IFS(F817&lt;=25,"YOUTH",F817&lt;=48,"ADULT",TRUE,"SENIOR")</f>
        <v>ADULT</v>
      </c>
      <c r="H817" s="1" t="s">
        <v>29</v>
      </c>
      <c r="I817" s="1" t="s">
        <v>22</v>
      </c>
      <c r="J817" s="1" t="s">
        <v>38</v>
      </c>
      <c r="K817" s="1" t="s">
        <v>24</v>
      </c>
      <c r="L817" s="1">
        <v>46172</v>
      </c>
      <c r="M817" s="3">
        <f t="shared" si="36"/>
        <v>0.12154552542666551</v>
      </c>
      <c r="N817" s="1">
        <v>5612</v>
      </c>
      <c r="O817" s="4">
        <f t="shared" si="37"/>
        <v>4.6883876357560572</v>
      </c>
      <c r="P817" s="1">
        <v>1197</v>
      </c>
      <c r="Q817" s="1">
        <v>6874.3699281405998</v>
      </c>
      <c r="R817" s="1">
        <v>23280.355443208398</v>
      </c>
      <c r="S817" s="5">
        <f t="shared" si="38"/>
        <v>23279.355443208398</v>
      </c>
      <c r="T817" s="1">
        <v>477</v>
      </c>
      <c r="U817" s="1">
        <v>81</v>
      </c>
      <c r="V817" s="1">
        <v>37</v>
      </c>
      <c r="W817" s="1">
        <v>1226</v>
      </c>
      <c r="X817" s="1">
        <v>0.74814373780582999</v>
      </c>
    </row>
    <row r="818" spans="1:24" x14ac:dyDescent="0.3">
      <c r="A818" s="2">
        <v>45340</v>
      </c>
      <c r="B818" s="1" t="s">
        <v>25</v>
      </c>
      <c r="C818" s="1" t="s">
        <v>41</v>
      </c>
      <c r="D818" s="1" t="s">
        <v>19</v>
      </c>
      <c r="E818" s="1" t="s">
        <v>28</v>
      </c>
      <c r="F818" s="1">
        <v>43</v>
      </c>
      <c r="G818" s="1" t="str" cm="1">
        <f t="array" ref="G818">_xlfn.IFS(F818&lt;=25,"YOUTH",F818&lt;=48,"ADULT",TRUE,"SENIOR")</f>
        <v>ADULT</v>
      </c>
      <c r="H818" s="1" t="s">
        <v>29</v>
      </c>
      <c r="I818" s="1" t="s">
        <v>22</v>
      </c>
      <c r="J818" s="1" t="s">
        <v>23</v>
      </c>
      <c r="K818" s="1" t="s">
        <v>31</v>
      </c>
      <c r="L818" s="1">
        <v>35346</v>
      </c>
      <c r="M818" s="3">
        <f t="shared" si="36"/>
        <v>2.7839076557460533E-2</v>
      </c>
      <c r="N818" s="1">
        <v>984</v>
      </c>
      <c r="O818" s="4">
        <f t="shared" si="37"/>
        <v>5.9636363636363638</v>
      </c>
      <c r="P818" s="1">
        <v>165</v>
      </c>
      <c r="Q818" s="1">
        <v>3984.1470639491899</v>
      </c>
      <c r="R818" s="1">
        <v>1397.8626108513999</v>
      </c>
      <c r="S818" s="5">
        <f t="shared" si="38"/>
        <v>1396.8626108513999</v>
      </c>
      <c r="T818" s="1">
        <v>705</v>
      </c>
      <c r="U818" s="1">
        <v>111</v>
      </c>
      <c r="V818" s="1">
        <v>44</v>
      </c>
      <c r="W818" s="1">
        <v>5315</v>
      </c>
      <c r="X818" s="1">
        <v>0.84203798320913903</v>
      </c>
    </row>
    <row r="819" spans="1:24" x14ac:dyDescent="0.3">
      <c r="A819" s="2">
        <v>45334</v>
      </c>
      <c r="B819" s="1" t="s">
        <v>40</v>
      </c>
      <c r="C819" s="1" t="s">
        <v>35</v>
      </c>
      <c r="D819" s="1" t="s">
        <v>27</v>
      </c>
      <c r="E819" s="1" t="s">
        <v>20</v>
      </c>
      <c r="F819" s="1">
        <v>42</v>
      </c>
      <c r="G819" s="1" t="str" cm="1">
        <f t="array" ref="G819">_xlfn.IFS(F819&lt;=25,"YOUTH",F819&lt;=48,"ADULT",TRUE,"SENIOR")</f>
        <v>ADULT</v>
      </c>
      <c r="H819" s="1" t="s">
        <v>21</v>
      </c>
      <c r="I819" s="1" t="s">
        <v>33</v>
      </c>
      <c r="J819" s="1" t="s">
        <v>38</v>
      </c>
      <c r="K819" s="1" t="s">
        <v>39</v>
      </c>
      <c r="L819" s="1">
        <v>18263</v>
      </c>
      <c r="M819" s="3">
        <f t="shared" si="36"/>
        <v>0.13645074741280183</v>
      </c>
      <c r="N819" s="1">
        <v>2492</v>
      </c>
      <c r="O819" s="4">
        <f t="shared" si="37"/>
        <v>6.2456140350877192</v>
      </c>
      <c r="P819" s="1">
        <v>399</v>
      </c>
      <c r="Q819" s="1">
        <v>754.70012232356703</v>
      </c>
      <c r="R819" s="1">
        <v>17948.3079184423</v>
      </c>
      <c r="S819" s="5">
        <f t="shared" si="38"/>
        <v>17947.3079184423</v>
      </c>
      <c r="T819" s="1">
        <v>447</v>
      </c>
      <c r="U819" s="1">
        <v>23</v>
      </c>
      <c r="V819" s="1">
        <v>21</v>
      </c>
      <c r="W819" s="1">
        <v>1576</v>
      </c>
      <c r="X819" s="1">
        <v>0.93857819581348401</v>
      </c>
    </row>
    <row r="820" spans="1:24" x14ac:dyDescent="0.3">
      <c r="A820" s="2">
        <v>45308</v>
      </c>
      <c r="B820" s="1" t="s">
        <v>17</v>
      </c>
      <c r="C820" s="1" t="s">
        <v>41</v>
      </c>
      <c r="D820" s="1" t="s">
        <v>36</v>
      </c>
      <c r="E820" s="1" t="s">
        <v>20</v>
      </c>
      <c r="F820" s="1">
        <v>34</v>
      </c>
      <c r="G820" s="1" t="str" cm="1">
        <f t="array" ref="G820">_xlfn.IFS(F820&lt;=25,"YOUTH",F820&lt;=48,"ADULT",TRUE,"SENIOR")</f>
        <v>ADULT</v>
      </c>
      <c r="H820" s="1" t="s">
        <v>21</v>
      </c>
      <c r="I820" s="1" t="s">
        <v>37</v>
      </c>
      <c r="J820" s="1" t="s">
        <v>23</v>
      </c>
      <c r="K820" s="1" t="s">
        <v>31</v>
      </c>
      <c r="L820" s="1">
        <v>47874</v>
      </c>
      <c r="M820" s="3">
        <f t="shared" si="36"/>
        <v>0.10410661319296487</v>
      </c>
      <c r="N820" s="1">
        <v>4984</v>
      </c>
      <c r="O820" s="4">
        <f t="shared" si="37"/>
        <v>7.8488188976377948</v>
      </c>
      <c r="P820" s="1">
        <v>635</v>
      </c>
      <c r="Q820" s="1">
        <v>6904.2591080124603</v>
      </c>
      <c r="R820" s="1">
        <v>5131.3763041087896</v>
      </c>
      <c r="S820" s="5">
        <f t="shared" si="38"/>
        <v>5130.3763041087896</v>
      </c>
      <c r="T820" s="1">
        <v>645</v>
      </c>
      <c r="U820" s="1">
        <v>86</v>
      </c>
      <c r="V820" s="1">
        <v>63</v>
      </c>
      <c r="W820" s="1">
        <v>4848</v>
      </c>
      <c r="X820" s="1">
        <v>0.83742894470450302</v>
      </c>
    </row>
    <row r="821" spans="1:24" x14ac:dyDescent="0.3">
      <c r="A821" s="2">
        <v>45307</v>
      </c>
      <c r="B821" s="1" t="s">
        <v>34</v>
      </c>
      <c r="C821" s="1" t="s">
        <v>18</v>
      </c>
      <c r="D821" s="1" t="s">
        <v>36</v>
      </c>
      <c r="E821" s="1" t="s">
        <v>28</v>
      </c>
      <c r="F821" s="1">
        <v>30</v>
      </c>
      <c r="G821" s="1" t="str" cm="1">
        <f t="array" ref="G821">_xlfn.IFS(F821&lt;=25,"YOUTH",F821&lt;=48,"ADULT",TRUE,"SENIOR")</f>
        <v>ADULT</v>
      </c>
      <c r="H821" s="1" t="s">
        <v>29</v>
      </c>
      <c r="I821" s="1" t="s">
        <v>33</v>
      </c>
      <c r="J821" s="1" t="s">
        <v>38</v>
      </c>
      <c r="K821" s="1" t="s">
        <v>31</v>
      </c>
      <c r="L821" s="1">
        <v>27148</v>
      </c>
      <c r="M821" s="3">
        <f t="shared" si="36"/>
        <v>0.13562693384411376</v>
      </c>
      <c r="N821" s="1">
        <v>3682</v>
      </c>
      <c r="O821" s="4">
        <f t="shared" si="37"/>
        <v>6.0960264900662251</v>
      </c>
      <c r="P821" s="1">
        <v>604</v>
      </c>
      <c r="Q821" s="1">
        <v>2899.7060986614301</v>
      </c>
      <c r="R821" s="1">
        <v>27075.467759233299</v>
      </c>
      <c r="S821" s="5">
        <f t="shared" si="38"/>
        <v>27074.467759233299</v>
      </c>
      <c r="T821" s="1">
        <v>393</v>
      </c>
      <c r="U821" s="1">
        <v>63</v>
      </c>
      <c r="V821" s="1">
        <v>29</v>
      </c>
      <c r="W821" s="1">
        <v>5297</v>
      </c>
      <c r="X821" s="1">
        <v>0.78914525739484698</v>
      </c>
    </row>
    <row r="822" spans="1:24" x14ac:dyDescent="0.3">
      <c r="A822" s="2">
        <v>45349</v>
      </c>
      <c r="B822" s="1" t="s">
        <v>40</v>
      </c>
      <c r="C822" s="1" t="s">
        <v>18</v>
      </c>
      <c r="D822" s="1" t="s">
        <v>36</v>
      </c>
      <c r="E822" s="1" t="s">
        <v>28</v>
      </c>
      <c r="F822" s="1">
        <v>37</v>
      </c>
      <c r="G822" s="1" t="str" cm="1">
        <f t="array" ref="G822">_xlfn.IFS(F822&lt;=25,"YOUTH",F822&lt;=48,"ADULT",TRUE,"SENIOR")</f>
        <v>ADULT</v>
      </c>
      <c r="H822" s="1" t="s">
        <v>42</v>
      </c>
      <c r="I822" s="1" t="s">
        <v>37</v>
      </c>
      <c r="J822" s="1" t="s">
        <v>23</v>
      </c>
      <c r="K822" s="1" t="s">
        <v>31</v>
      </c>
      <c r="L822" s="1">
        <v>32533</v>
      </c>
      <c r="M822" s="3">
        <f t="shared" si="36"/>
        <v>7.2572464881812307E-2</v>
      </c>
      <c r="N822" s="1">
        <v>2361</v>
      </c>
      <c r="O822" s="4">
        <f t="shared" si="37"/>
        <v>4.9290187891440498</v>
      </c>
      <c r="P822" s="1">
        <v>479</v>
      </c>
      <c r="Q822" s="1">
        <v>901.61858616715597</v>
      </c>
      <c r="R822" s="1">
        <v>9418.4315614556908</v>
      </c>
      <c r="S822" s="5">
        <f t="shared" si="38"/>
        <v>9417.4315614556908</v>
      </c>
      <c r="T822" s="1">
        <v>884</v>
      </c>
      <c r="U822" s="1">
        <v>103</v>
      </c>
      <c r="V822" s="1">
        <v>76</v>
      </c>
      <c r="W822" s="1">
        <v>2453</v>
      </c>
      <c r="X822" s="1">
        <v>0.47454968598633301</v>
      </c>
    </row>
    <row r="823" spans="1:24" x14ac:dyDescent="0.3">
      <c r="A823" s="2">
        <v>45346</v>
      </c>
      <c r="B823" s="1" t="s">
        <v>34</v>
      </c>
      <c r="C823" s="1" t="s">
        <v>41</v>
      </c>
      <c r="D823" s="1" t="s">
        <v>19</v>
      </c>
      <c r="E823" s="1" t="s">
        <v>20</v>
      </c>
      <c r="F823" s="1">
        <v>42</v>
      </c>
      <c r="G823" s="1" t="str" cm="1">
        <f t="array" ref="G823">_xlfn.IFS(F823&lt;=25,"YOUTH",F823&lt;=48,"ADULT",TRUE,"SENIOR")</f>
        <v>ADULT</v>
      </c>
      <c r="H823" s="1" t="s">
        <v>21</v>
      </c>
      <c r="I823" s="1" t="s">
        <v>37</v>
      </c>
      <c r="J823" s="1" t="s">
        <v>23</v>
      </c>
      <c r="K823" s="1" t="s">
        <v>39</v>
      </c>
      <c r="L823" s="1">
        <v>43608</v>
      </c>
      <c r="M823" s="3">
        <f t="shared" si="36"/>
        <v>7.1156668501192441E-2</v>
      </c>
      <c r="N823" s="1">
        <v>3103</v>
      </c>
      <c r="O823" s="4">
        <f t="shared" si="37"/>
        <v>4.1208499335989375</v>
      </c>
      <c r="P823" s="1">
        <v>753</v>
      </c>
      <c r="Q823" s="1">
        <v>4599.9410280000002</v>
      </c>
      <c r="R823" s="1">
        <v>48043.390974600101</v>
      </c>
      <c r="S823" s="5">
        <f t="shared" si="38"/>
        <v>48042.390974600101</v>
      </c>
      <c r="T823" s="1">
        <v>658</v>
      </c>
      <c r="U823" s="1">
        <v>126</v>
      </c>
      <c r="V823" s="1">
        <v>15</v>
      </c>
      <c r="W823" s="1">
        <v>5806</v>
      </c>
      <c r="X823" s="1">
        <v>0.84939421309293095</v>
      </c>
    </row>
    <row r="824" spans="1:24" x14ac:dyDescent="0.3">
      <c r="A824" s="2">
        <v>45293</v>
      </c>
      <c r="B824" s="1" t="s">
        <v>34</v>
      </c>
      <c r="C824" s="1" t="s">
        <v>26</v>
      </c>
      <c r="D824" s="1" t="s">
        <v>32</v>
      </c>
      <c r="E824" s="1" t="s">
        <v>28</v>
      </c>
      <c r="F824" s="1">
        <v>21</v>
      </c>
      <c r="G824" s="1" t="str" cm="1">
        <f t="array" ref="G824">_xlfn.IFS(F824&lt;=25,"YOUTH",F824&lt;=48,"ADULT",TRUE,"SENIOR")</f>
        <v>YOUTH</v>
      </c>
      <c r="H824" s="1" t="s">
        <v>29</v>
      </c>
      <c r="I824" s="1" t="s">
        <v>22</v>
      </c>
      <c r="J824" s="1" t="s">
        <v>23</v>
      </c>
      <c r="K824" s="1" t="s">
        <v>24</v>
      </c>
      <c r="L824" s="1">
        <v>13931</v>
      </c>
      <c r="M824" s="3">
        <f t="shared" si="36"/>
        <v>0.11980475199196038</v>
      </c>
      <c r="N824" s="1">
        <v>1669</v>
      </c>
      <c r="O824" s="4">
        <f t="shared" si="37"/>
        <v>7.8726415094339623</v>
      </c>
      <c r="P824" s="1">
        <v>212</v>
      </c>
      <c r="Q824" s="1">
        <v>1877.97573907021</v>
      </c>
      <c r="R824" s="1">
        <v>7606.7769717558403</v>
      </c>
      <c r="S824" s="5">
        <f t="shared" si="38"/>
        <v>7605.7769717558403</v>
      </c>
      <c r="T824" s="1">
        <v>287</v>
      </c>
      <c r="U824" s="1">
        <v>49</v>
      </c>
      <c r="V824" s="1">
        <v>11</v>
      </c>
      <c r="W824" s="1">
        <v>1178</v>
      </c>
      <c r="X824" s="1">
        <v>0.804796902069286</v>
      </c>
    </row>
    <row r="825" spans="1:24" x14ac:dyDescent="0.3">
      <c r="A825" s="2">
        <v>45295</v>
      </c>
      <c r="B825" s="1" t="s">
        <v>34</v>
      </c>
      <c r="C825" s="1" t="s">
        <v>35</v>
      </c>
      <c r="D825" s="1" t="s">
        <v>32</v>
      </c>
      <c r="E825" s="1" t="s">
        <v>20</v>
      </c>
      <c r="F825" s="1">
        <v>27</v>
      </c>
      <c r="G825" s="1" t="str" cm="1">
        <f t="array" ref="G825">_xlfn.IFS(F825&lt;=25,"YOUTH",F825&lt;=48,"ADULT",TRUE,"SENIOR")</f>
        <v>ADULT</v>
      </c>
      <c r="H825" s="1" t="s">
        <v>21</v>
      </c>
      <c r="I825" s="1" t="s">
        <v>43</v>
      </c>
      <c r="J825" s="1" t="s">
        <v>38</v>
      </c>
      <c r="K825" s="1" t="s">
        <v>24</v>
      </c>
      <c r="L825" s="1">
        <v>2359</v>
      </c>
      <c r="M825" s="3">
        <f t="shared" si="36"/>
        <v>2.2891055532005086E-2</v>
      </c>
      <c r="N825" s="1">
        <v>54</v>
      </c>
      <c r="O825" s="4">
        <f t="shared" si="37"/>
        <v>6.75</v>
      </c>
      <c r="P825" s="1">
        <v>8</v>
      </c>
      <c r="Q825" s="1">
        <v>224.1414278</v>
      </c>
      <c r="R825" s="1">
        <v>156.44798532104099</v>
      </c>
      <c r="S825" s="5">
        <f t="shared" si="38"/>
        <v>155.44798532104099</v>
      </c>
      <c r="T825" s="1">
        <v>64</v>
      </c>
      <c r="U825" s="1">
        <v>9</v>
      </c>
      <c r="V825" s="1">
        <v>3</v>
      </c>
      <c r="W825" s="1">
        <v>424</v>
      </c>
      <c r="X825" s="1">
        <v>0.82373770747067798</v>
      </c>
    </row>
    <row r="826" spans="1:24" x14ac:dyDescent="0.3">
      <c r="A826" s="2">
        <v>45312</v>
      </c>
      <c r="B826" s="1" t="s">
        <v>25</v>
      </c>
      <c r="C826" s="1" t="s">
        <v>26</v>
      </c>
      <c r="D826" s="1" t="s">
        <v>19</v>
      </c>
      <c r="E826" s="1" t="s">
        <v>28</v>
      </c>
      <c r="F826" s="1">
        <v>20</v>
      </c>
      <c r="G826" s="1" t="str" cm="1">
        <f t="array" ref="G826">_xlfn.IFS(F826&lt;=25,"YOUTH",F826&lt;=48,"ADULT",TRUE,"SENIOR")</f>
        <v>YOUTH</v>
      </c>
      <c r="H826" s="1" t="s">
        <v>21</v>
      </c>
      <c r="I826" s="1" t="s">
        <v>22</v>
      </c>
      <c r="J826" s="1" t="s">
        <v>23</v>
      </c>
      <c r="K826" s="1" t="s">
        <v>31</v>
      </c>
      <c r="L826" s="1">
        <v>25532</v>
      </c>
      <c r="M826" s="3">
        <f t="shared" si="36"/>
        <v>8.291555694814351E-2</v>
      </c>
      <c r="N826" s="1">
        <v>2117</v>
      </c>
      <c r="O826" s="4">
        <f t="shared" si="37"/>
        <v>8.2054263565891468</v>
      </c>
      <c r="P826" s="1">
        <v>258</v>
      </c>
      <c r="Q826" s="1">
        <v>1685.6878217703299</v>
      </c>
      <c r="R826" s="1">
        <v>15597.2469586875</v>
      </c>
      <c r="S826" s="5">
        <f t="shared" si="38"/>
        <v>15596.2469586875</v>
      </c>
      <c r="T826" s="1">
        <v>261</v>
      </c>
      <c r="U826" s="1">
        <v>15</v>
      </c>
      <c r="V826" s="1">
        <v>9</v>
      </c>
      <c r="W826" s="1">
        <v>4363</v>
      </c>
      <c r="X826" s="1">
        <v>0.52710306303382104</v>
      </c>
    </row>
    <row r="827" spans="1:24" x14ac:dyDescent="0.3">
      <c r="A827" s="2">
        <v>45330</v>
      </c>
      <c r="B827" s="1" t="s">
        <v>40</v>
      </c>
      <c r="C827" s="1" t="s">
        <v>41</v>
      </c>
      <c r="D827" s="1" t="s">
        <v>36</v>
      </c>
      <c r="E827" s="1" t="s">
        <v>28</v>
      </c>
      <c r="F827" s="1">
        <v>58</v>
      </c>
      <c r="G827" s="1" t="str" cm="1">
        <f t="array" ref="G827">_xlfn.IFS(F827&lt;=25,"YOUTH",F827&lt;=48,"ADULT",TRUE,"SENIOR")</f>
        <v>SENIOR</v>
      </c>
      <c r="H827" s="1" t="s">
        <v>29</v>
      </c>
      <c r="I827" s="1" t="s">
        <v>43</v>
      </c>
      <c r="J827" s="1" t="s">
        <v>38</v>
      </c>
      <c r="K827" s="1" t="s">
        <v>39</v>
      </c>
      <c r="L827" s="1">
        <v>21344</v>
      </c>
      <c r="M827" s="3">
        <f t="shared" si="36"/>
        <v>0.12706146926536732</v>
      </c>
      <c r="N827" s="1">
        <v>2712</v>
      </c>
      <c r="O827" s="4">
        <f t="shared" si="37"/>
        <v>5.7579617834394901</v>
      </c>
      <c r="P827" s="1">
        <v>471</v>
      </c>
      <c r="Q827" s="1">
        <v>2704.6743799999999</v>
      </c>
      <c r="R827" s="1">
        <v>10132.2937234704</v>
      </c>
      <c r="S827" s="5">
        <f t="shared" si="38"/>
        <v>10131.2937234704</v>
      </c>
      <c r="T827" s="1">
        <v>630</v>
      </c>
      <c r="U827" s="1">
        <v>93</v>
      </c>
      <c r="V827" s="1">
        <v>16</v>
      </c>
      <c r="W827" s="1">
        <v>1193</v>
      </c>
      <c r="X827" s="1">
        <v>0.89689403309751004</v>
      </c>
    </row>
    <row r="828" spans="1:24" x14ac:dyDescent="0.3">
      <c r="A828" s="2">
        <v>45325</v>
      </c>
      <c r="B828" s="1" t="s">
        <v>40</v>
      </c>
      <c r="C828" s="1" t="s">
        <v>18</v>
      </c>
      <c r="D828" s="1" t="s">
        <v>36</v>
      </c>
      <c r="E828" s="1" t="s">
        <v>28</v>
      </c>
      <c r="F828" s="1">
        <v>35</v>
      </c>
      <c r="G828" s="1" t="str" cm="1">
        <f t="array" ref="G828">_xlfn.IFS(F828&lt;=25,"YOUTH",F828&lt;=48,"ADULT",TRUE,"SENIOR")</f>
        <v>ADULT</v>
      </c>
      <c r="H828" s="1" t="s">
        <v>29</v>
      </c>
      <c r="I828" s="1" t="s">
        <v>37</v>
      </c>
      <c r="J828" s="1" t="s">
        <v>23</v>
      </c>
      <c r="K828" s="1" t="s">
        <v>39</v>
      </c>
      <c r="L828" s="1">
        <v>5242</v>
      </c>
      <c r="M828" s="3">
        <f t="shared" si="36"/>
        <v>0.12609690957649752</v>
      </c>
      <c r="N828" s="1">
        <v>661</v>
      </c>
      <c r="O828" s="4">
        <f t="shared" si="37"/>
        <v>6.1203703703703702</v>
      </c>
      <c r="P828" s="1">
        <v>108</v>
      </c>
      <c r="Q828" s="1">
        <v>638.09063311194404</v>
      </c>
      <c r="R828" s="1">
        <v>2692.3255172046202</v>
      </c>
      <c r="S828" s="5">
        <f t="shared" si="38"/>
        <v>2691.3255172046202</v>
      </c>
      <c r="T828" s="1">
        <v>118</v>
      </c>
      <c r="U828" s="1">
        <v>22</v>
      </c>
      <c r="V828" s="1">
        <v>4</v>
      </c>
      <c r="W828" s="1">
        <v>741</v>
      </c>
      <c r="X828" s="1">
        <v>0.453504752590774</v>
      </c>
    </row>
    <row r="829" spans="1:24" x14ac:dyDescent="0.3">
      <c r="A829" s="2">
        <v>45321</v>
      </c>
      <c r="B829" s="1" t="s">
        <v>25</v>
      </c>
      <c r="C829" s="1" t="s">
        <v>35</v>
      </c>
      <c r="D829" s="1" t="s">
        <v>27</v>
      </c>
      <c r="E829" s="1" t="s">
        <v>28</v>
      </c>
      <c r="F829" s="1">
        <v>53</v>
      </c>
      <c r="G829" s="1" t="str" cm="1">
        <f t="array" ref="G829">_xlfn.IFS(F829&lt;=25,"YOUTH",F829&lt;=48,"ADULT",TRUE,"SENIOR")</f>
        <v>SENIOR</v>
      </c>
      <c r="H829" s="1" t="s">
        <v>29</v>
      </c>
      <c r="I829" s="1" t="s">
        <v>22</v>
      </c>
      <c r="J829" s="1" t="s">
        <v>38</v>
      </c>
      <c r="K829" s="1" t="s">
        <v>39</v>
      </c>
      <c r="L829" s="1">
        <v>21601</v>
      </c>
      <c r="M829" s="3">
        <f t="shared" si="36"/>
        <v>0.14383593352159621</v>
      </c>
      <c r="N829" s="1">
        <v>3107</v>
      </c>
      <c r="O829" s="4">
        <f t="shared" si="37"/>
        <v>41.986486486486484</v>
      </c>
      <c r="P829" s="1">
        <v>74</v>
      </c>
      <c r="Q829" s="1">
        <v>1960.15423276154</v>
      </c>
      <c r="R829" s="1">
        <v>4382.8766944567396</v>
      </c>
      <c r="S829" s="5">
        <f t="shared" si="38"/>
        <v>4381.8766944567396</v>
      </c>
      <c r="T829" s="1">
        <v>375</v>
      </c>
      <c r="U829" s="1">
        <v>40</v>
      </c>
      <c r="V829" s="1">
        <v>23</v>
      </c>
      <c r="W829" s="1">
        <v>483</v>
      </c>
      <c r="X829" s="1">
        <v>0.53948663063057001</v>
      </c>
    </row>
    <row r="830" spans="1:24" x14ac:dyDescent="0.3">
      <c r="A830" s="2">
        <v>45297</v>
      </c>
      <c r="B830" s="1" t="s">
        <v>17</v>
      </c>
      <c r="C830" s="1" t="s">
        <v>26</v>
      </c>
      <c r="D830" s="1" t="s">
        <v>27</v>
      </c>
      <c r="E830" s="1" t="s">
        <v>28</v>
      </c>
      <c r="F830" s="1">
        <v>39</v>
      </c>
      <c r="G830" s="1" t="str" cm="1">
        <f t="array" ref="G830">_xlfn.IFS(F830&lt;=25,"YOUTH",F830&lt;=48,"ADULT",TRUE,"SENIOR")</f>
        <v>ADULT</v>
      </c>
      <c r="H830" s="1" t="s">
        <v>21</v>
      </c>
      <c r="I830" s="1" t="s">
        <v>43</v>
      </c>
      <c r="J830" s="1" t="s">
        <v>38</v>
      </c>
      <c r="K830" s="1" t="s">
        <v>31</v>
      </c>
      <c r="L830" s="1">
        <v>20116</v>
      </c>
      <c r="M830" s="3">
        <f t="shared" si="36"/>
        <v>0.10772519387552197</v>
      </c>
      <c r="N830" s="1">
        <v>2167</v>
      </c>
      <c r="O830" s="4">
        <f t="shared" si="37"/>
        <v>6.9233226837060702</v>
      </c>
      <c r="P830" s="1">
        <v>313</v>
      </c>
      <c r="Q830" s="1">
        <v>805.98837719999995</v>
      </c>
      <c r="R830" s="1">
        <v>7847.3738462931196</v>
      </c>
      <c r="S830" s="5">
        <f t="shared" si="38"/>
        <v>7846.3738462931196</v>
      </c>
      <c r="T830" s="1">
        <v>317</v>
      </c>
      <c r="U830" s="1">
        <v>55</v>
      </c>
      <c r="V830" s="1">
        <v>23</v>
      </c>
      <c r="W830" s="1">
        <v>3882</v>
      </c>
      <c r="X830" s="1">
        <v>0.76466289107842</v>
      </c>
    </row>
    <row r="831" spans="1:24" x14ac:dyDescent="0.3">
      <c r="A831" s="2">
        <v>45308</v>
      </c>
      <c r="B831" s="1" t="s">
        <v>34</v>
      </c>
      <c r="C831" s="1" t="s">
        <v>26</v>
      </c>
      <c r="D831" s="1" t="s">
        <v>36</v>
      </c>
      <c r="E831" s="1" t="s">
        <v>20</v>
      </c>
      <c r="F831" s="1">
        <v>51</v>
      </c>
      <c r="G831" s="1" t="str" cm="1">
        <f t="array" ref="G831">_xlfn.IFS(F831&lt;=25,"YOUTH",F831&lt;=48,"ADULT",TRUE,"SENIOR")</f>
        <v>SENIOR</v>
      </c>
      <c r="H831" s="1" t="s">
        <v>29</v>
      </c>
      <c r="I831" s="1" t="s">
        <v>33</v>
      </c>
      <c r="J831" s="1" t="s">
        <v>38</v>
      </c>
      <c r="K831" s="1" t="s">
        <v>39</v>
      </c>
      <c r="L831" s="1">
        <v>36477</v>
      </c>
      <c r="M831" s="3">
        <f t="shared" si="36"/>
        <v>3.9065712640842173E-2</v>
      </c>
      <c r="N831" s="1">
        <v>1425</v>
      </c>
      <c r="O831" s="4">
        <f t="shared" si="37"/>
        <v>25</v>
      </c>
      <c r="P831" s="1">
        <v>57</v>
      </c>
      <c r="Q831" s="1">
        <v>1919.72042421578</v>
      </c>
      <c r="R831" s="1">
        <v>1804.65676499951</v>
      </c>
      <c r="S831" s="5">
        <f t="shared" si="38"/>
        <v>1803.65676499951</v>
      </c>
      <c r="T831" s="1">
        <v>1052</v>
      </c>
      <c r="U831" s="1">
        <v>102</v>
      </c>
      <c r="V831" s="1">
        <v>86</v>
      </c>
      <c r="W831" s="1">
        <v>2783</v>
      </c>
      <c r="X831" s="1">
        <v>0.77054295510705795</v>
      </c>
    </row>
    <row r="832" spans="1:24" x14ac:dyDescent="0.3">
      <c r="A832" s="2">
        <v>45330</v>
      </c>
      <c r="B832" s="1" t="s">
        <v>40</v>
      </c>
      <c r="C832" s="1" t="s">
        <v>41</v>
      </c>
      <c r="D832" s="1" t="s">
        <v>19</v>
      </c>
      <c r="E832" s="1" t="s">
        <v>28</v>
      </c>
      <c r="F832" s="1">
        <v>25</v>
      </c>
      <c r="G832" s="1" t="str" cm="1">
        <f t="array" ref="G832">_xlfn.IFS(F832&lt;=25,"YOUTH",F832&lt;=48,"ADULT",TRUE,"SENIOR")</f>
        <v>YOUTH</v>
      </c>
      <c r="H832" s="1" t="s">
        <v>21</v>
      </c>
      <c r="I832" s="1" t="s">
        <v>43</v>
      </c>
      <c r="J832" s="1" t="s">
        <v>23</v>
      </c>
      <c r="K832" s="1" t="s">
        <v>24</v>
      </c>
      <c r="L832" s="1">
        <v>31782</v>
      </c>
      <c r="M832" s="3">
        <f t="shared" si="36"/>
        <v>1.2837455163299981E-2</v>
      </c>
      <c r="N832" s="1">
        <v>408</v>
      </c>
      <c r="O832" s="4">
        <f t="shared" si="37"/>
        <v>40.799999999999997</v>
      </c>
      <c r="P832" s="1">
        <v>10</v>
      </c>
      <c r="Q832" s="1">
        <v>3686.8046885224398</v>
      </c>
      <c r="R832" s="1">
        <v>275.98268599326298</v>
      </c>
      <c r="S832" s="5">
        <f t="shared" si="38"/>
        <v>274.98268599326298</v>
      </c>
      <c r="T832" s="1">
        <v>322</v>
      </c>
      <c r="U832" s="1">
        <v>43</v>
      </c>
      <c r="V832" s="1">
        <v>7</v>
      </c>
      <c r="W832" s="1">
        <v>5340</v>
      </c>
      <c r="X832" s="1">
        <v>0.57232851146545305</v>
      </c>
    </row>
    <row r="833" spans="1:24" x14ac:dyDescent="0.3">
      <c r="A833" s="2">
        <v>45316</v>
      </c>
      <c r="B833" s="1" t="s">
        <v>25</v>
      </c>
      <c r="C833" s="1" t="s">
        <v>35</v>
      </c>
      <c r="D833" s="1" t="s">
        <v>36</v>
      </c>
      <c r="E833" s="1" t="s">
        <v>28</v>
      </c>
      <c r="F833" s="1">
        <v>57</v>
      </c>
      <c r="G833" s="1" t="str" cm="1">
        <f t="array" ref="G833">_xlfn.IFS(F833&lt;=25,"YOUTH",F833&lt;=48,"ADULT",TRUE,"SENIOR")</f>
        <v>SENIOR</v>
      </c>
      <c r="H833" s="1" t="s">
        <v>21</v>
      </c>
      <c r="I833" s="1" t="s">
        <v>22</v>
      </c>
      <c r="J833" s="1" t="s">
        <v>23</v>
      </c>
      <c r="K833" s="1" t="s">
        <v>31</v>
      </c>
      <c r="L833" s="1">
        <v>46559</v>
      </c>
      <c r="M833" s="3">
        <f t="shared" si="36"/>
        <v>7.7106467063296033E-2</v>
      </c>
      <c r="N833" s="1">
        <v>3590</v>
      </c>
      <c r="O833" s="4">
        <f t="shared" si="37"/>
        <v>4.9517241379310342</v>
      </c>
      <c r="P833" s="1">
        <v>725</v>
      </c>
      <c r="Q833" s="1">
        <v>5810.1293400209097</v>
      </c>
      <c r="R833" s="1">
        <v>9110.3649777564606</v>
      </c>
      <c r="S833" s="5">
        <f t="shared" si="38"/>
        <v>9109.3649777564606</v>
      </c>
      <c r="T833" s="1">
        <v>595</v>
      </c>
      <c r="U833" s="1">
        <v>87</v>
      </c>
      <c r="V833" s="1">
        <v>32</v>
      </c>
      <c r="W833" s="1">
        <v>3282</v>
      </c>
      <c r="X833" s="1">
        <v>0.78583587741149796</v>
      </c>
    </row>
    <row r="834" spans="1:24" x14ac:dyDescent="0.3">
      <c r="A834" s="2">
        <v>45296</v>
      </c>
      <c r="B834" s="1" t="s">
        <v>34</v>
      </c>
      <c r="C834" s="1" t="s">
        <v>18</v>
      </c>
      <c r="D834" s="1" t="s">
        <v>27</v>
      </c>
      <c r="E834" s="1" t="s">
        <v>28</v>
      </c>
      <c r="F834" s="1">
        <v>36</v>
      </c>
      <c r="G834" s="1" t="str" cm="1">
        <f t="array" ref="G834">_xlfn.IFS(F834&lt;=25,"YOUTH",F834&lt;=48,"ADULT",TRUE,"SENIOR")</f>
        <v>ADULT</v>
      </c>
      <c r="H834" s="1" t="s">
        <v>29</v>
      </c>
      <c r="I834" s="1" t="s">
        <v>33</v>
      </c>
      <c r="J834" s="1" t="s">
        <v>30</v>
      </c>
      <c r="K834" s="1" t="s">
        <v>24</v>
      </c>
      <c r="L834" s="1">
        <v>19880</v>
      </c>
      <c r="M834" s="3">
        <f t="shared" si="36"/>
        <v>8.1891348088531185E-2</v>
      </c>
      <c r="N834" s="1">
        <v>1628</v>
      </c>
      <c r="O834" s="4">
        <f t="shared" si="37"/>
        <v>12.620155038759689</v>
      </c>
      <c r="P834" s="1">
        <v>129</v>
      </c>
      <c r="Q834" s="1">
        <v>1119.33318456913</v>
      </c>
      <c r="R834" s="1">
        <v>971.14138568963699</v>
      </c>
      <c r="S834" s="5">
        <f t="shared" si="38"/>
        <v>970.14138568963699</v>
      </c>
      <c r="T834" s="1">
        <v>252</v>
      </c>
      <c r="U834" s="1">
        <v>38</v>
      </c>
      <c r="V834" s="1">
        <v>7</v>
      </c>
      <c r="W834" s="1">
        <v>2588</v>
      </c>
      <c r="X834" s="1">
        <v>0.61336179571017901</v>
      </c>
    </row>
    <row r="835" spans="1:24" x14ac:dyDescent="0.3">
      <c r="A835" s="2">
        <v>45296</v>
      </c>
      <c r="B835" s="1" t="s">
        <v>17</v>
      </c>
      <c r="C835" s="1" t="s">
        <v>41</v>
      </c>
      <c r="D835" s="1" t="s">
        <v>36</v>
      </c>
      <c r="E835" s="1" t="s">
        <v>20</v>
      </c>
      <c r="F835" s="1">
        <v>59</v>
      </c>
      <c r="G835" s="1" t="str" cm="1">
        <f t="array" ref="G835">_xlfn.IFS(F835&lt;=25,"YOUTH",F835&lt;=48,"ADULT",TRUE,"SENIOR")</f>
        <v>SENIOR</v>
      </c>
      <c r="H835" s="1" t="s">
        <v>21</v>
      </c>
      <c r="I835" s="1" t="s">
        <v>43</v>
      </c>
      <c r="J835" s="1" t="s">
        <v>23</v>
      </c>
      <c r="K835" s="1" t="s">
        <v>39</v>
      </c>
      <c r="L835" s="1">
        <v>4499</v>
      </c>
      <c r="M835" s="3">
        <f t="shared" ref="M835:M898" si="39">(N835/L835)</f>
        <v>4.3565236719270949E-2</v>
      </c>
      <c r="N835" s="1">
        <v>196</v>
      </c>
      <c r="O835" s="4">
        <f t="shared" ref="O835:O898" si="40">(N835/P835)</f>
        <v>10.315789473684211</v>
      </c>
      <c r="P835" s="1">
        <v>19</v>
      </c>
      <c r="Q835" s="1">
        <v>305.20343209423498</v>
      </c>
      <c r="R835" s="1">
        <v>989.80773246531101</v>
      </c>
      <c r="S835" s="5">
        <f t="shared" ref="S835:S898" si="41">(R835-Q835/Q835)</f>
        <v>988.80773246531101</v>
      </c>
      <c r="T835" s="1">
        <v>55</v>
      </c>
      <c r="U835" s="1">
        <v>10</v>
      </c>
      <c r="V835" s="1">
        <v>2</v>
      </c>
      <c r="W835" s="1">
        <v>885</v>
      </c>
      <c r="X835" s="1">
        <v>0.400096533721857</v>
      </c>
    </row>
    <row r="836" spans="1:24" x14ac:dyDescent="0.3">
      <c r="A836" s="2">
        <v>45311</v>
      </c>
      <c r="B836" s="1" t="s">
        <v>17</v>
      </c>
      <c r="C836" s="1" t="s">
        <v>35</v>
      </c>
      <c r="D836" s="1" t="s">
        <v>19</v>
      </c>
      <c r="E836" s="1" t="s">
        <v>20</v>
      </c>
      <c r="F836" s="1">
        <v>58</v>
      </c>
      <c r="G836" s="1" t="str" cm="1">
        <f t="array" ref="G836">_xlfn.IFS(F836&lt;=25,"YOUTH",F836&lt;=48,"ADULT",TRUE,"SENIOR")</f>
        <v>SENIOR</v>
      </c>
      <c r="H836" s="1" t="s">
        <v>29</v>
      </c>
      <c r="I836" s="1" t="s">
        <v>43</v>
      </c>
      <c r="J836" s="1" t="s">
        <v>23</v>
      </c>
      <c r="K836" s="1" t="s">
        <v>31</v>
      </c>
      <c r="L836" s="1">
        <v>32587</v>
      </c>
      <c r="M836" s="3">
        <f t="shared" si="39"/>
        <v>2.7434252922944734E-2</v>
      </c>
      <c r="N836" s="1">
        <v>894</v>
      </c>
      <c r="O836" s="4">
        <f t="shared" si="40"/>
        <v>28.838709677419356</v>
      </c>
      <c r="P836" s="1">
        <v>31</v>
      </c>
      <c r="Q836" s="1">
        <v>980.61273180255898</v>
      </c>
      <c r="R836" s="1">
        <v>1454.9513047304699</v>
      </c>
      <c r="S836" s="5">
        <f t="shared" si="41"/>
        <v>1453.9513047304699</v>
      </c>
      <c r="T836" s="1">
        <v>544</v>
      </c>
      <c r="U836" s="1">
        <v>46</v>
      </c>
      <c r="V836" s="1">
        <v>29</v>
      </c>
      <c r="W836" s="1">
        <v>5754</v>
      </c>
      <c r="X836" s="1">
        <v>0.489433373</v>
      </c>
    </row>
    <row r="837" spans="1:24" x14ac:dyDescent="0.3">
      <c r="A837" s="2">
        <v>45307</v>
      </c>
      <c r="B837" s="1" t="s">
        <v>34</v>
      </c>
      <c r="C837" s="1" t="s">
        <v>26</v>
      </c>
      <c r="D837" s="1" t="s">
        <v>32</v>
      </c>
      <c r="E837" s="1" t="s">
        <v>20</v>
      </c>
      <c r="F837" s="1">
        <v>54</v>
      </c>
      <c r="G837" s="1" t="str" cm="1">
        <f t="array" ref="G837">_xlfn.IFS(F837&lt;=25,"YOUTH",F837&lt;=48,"ADULT",TRUE,"SENIOR")</f>
        <v>SENIOR</v>
      </c>
      <c r="H837" s="1" t="s">
        <v>21</v>
      </c>
      <c r="I837" s="1" t="s">
        <v>43</v>
      </c>
      <c r="J837" s="1" t="s">
        <v>23</v>
      </c>
      <c r="K837" s="1" t="s">
        <v>31</v>
      </c>
      <c r="L837" s="1">
        <v>45458</v>
      </c>
      <c r="M837" s="3">
        <f t="shared" si="39"/>
        <v>9.2063003211755909E-2</v>
      </c>
      <c r="N837" s="1">
        <v>4185</v>
      </c>
      <c r="O837" s="4">
        <f t="shared" si="40"/>
        <v>16.34765625</v>
      </c>
      <c r="P837" s="1">
        <v>256</v>
      </c>
      <c r="Q837" s="1">
        <v>5125.3919223497596</v>
      </c>
      <c r="R837" s="1">
        <v>5978.5713640662298</v>
      </c>
      <c r="S837" s="5">
        <f t="shared" si="41"/>
        <v>5977.5713640662298</v>
      </c>
      <c r="T837" s="1">
        <v>1351</v>
      </c>
      <c r="U837" s="1">
        <v>120</v>
      </c>
      <c r="V837" s="1">
        <v>80</v>
      </c>
      <c r="W837" s="1">
        <v>1839</v>
      </c>
      <c r="X837" s="1">
        <v>0.88544005136999504</v>
      </c>
    </row>
    <row r="838" spans="1:24" x14ac:dyDescent="0.3">
      <c r="A838" s="2">
        <v>45342</v>
      </c>
      <c r="B838" s="1" t="s">
        <v>17</v>
      </c>
      <c r="C838" s="1" t="s">
        <v>41</v>
      </c>
      <c r="D838" s="1" t="s">
        <v>19</v>
      </c>
      <c r="E838" s="1" t="s">
        <v>20</v>
      </c>
      <c r="F838" s="1">
        <v>23</v>
      </c>
      <c r="G838" s="1" t="str" cm="1">
        <f t="array" ref="G838">_xlfn.IFS(F838&lt;=25,"YOUTH",F838&lt;=48,"ADULT",TRUE,"SENIOR")</f>
        <v>YOUTH</v>
      </c>
      <c r="H838" s="1" t="s">
        <v>21</v>
      </c>
      <c r="I838" s="1" t="s">
        <v>43</v>
      </c>
      <c r="J838" s="1" t="s">
        <v>38</v>
      </c>
      <c r="K838" s="1" t="s">
        <v>31</v>
      </c>
      <c r="L838" s="1">
        <v>27020</v>
      </c>
      <c r="M838" s="3">
        <f t="shared" si="39"/>
        <v>0.11698741672834938</v>
      </c>
      <c r="N838" s="1">
        <v>3161</v>
      </c>
      <c r="O838" s="4">
        <f t="shared" si="40"/>
        <v>5.1066235864297251</v>
      </c>
      <c r="P838" s="1">
        <v>619</v>
      </c>
      <c r="Q838" s="1">
        <v>552.96648316206995</v>
      </c>
      <c r="R838" s="1">
        <v>14988.4307937665</v>
      </c>
      <c r="S838" s="5">
        <f t="shared" si="41"/>
        <v>14987.4307937665</v>
      </c>
      <c r="T838" s="1">
        <v>735</v>
      </c>
      <c r="U838" s="1">
        <v>114</v>
      </c>
      <c r="V838" s="1">
        <v>67</v>
      </c>
      <c r="W838" s="1">
        <v>3080</v>
      </c>
      <c r="X838" s="1">
        <v>0.52248170645117997</v>
      </c>
    </row>
    <row r="839" spans="1:24" x14ac:dyDescent="0.3">
      <c r="A839" s="2">
        <v>45332</v>
      </c>
      <c r="B839" s="1" t="s">
        <v>40</v>
      </c>
      <c r="C839" s="1" t="s">
        <v>26</v>
      </c>
      <c r="D839" s="1" t="s">
        <v>19</v>
      </c>
      <c r="E839" s="1" t="s">
        <v>20</v>
      </c>
      <c r="F839" s="1">
        <v>43</v>
      </c>
      <c r="G839" s="1" t="str" cm="1">
        <f t="array" ref="G839">_xlfn.IFS(F839&lt;=25,"YOUTH",F839&lt;=48,"ADULT",TRUE,"SENIOR")</f>
        <v>ADULT</v>
      </c>
      <c r="H839" s="1" t="s">
        <v>29</v>
      </c>
      <c r="I839" s="1" t="s">
        <v>43</v>
      </c>
      <c r="J839" s="1" t="s">
        <v>23</v>
      </c>
      <c r="K839" s="1" t="s">
        <v>39</v>
      </c>
      <c r="L839" s="1">
        <v>9080</v>
      </c>
      <c r="M839" s="3">
        <f t="shared" si="39"/>
        <v>0.14900881057268722</v>
      </c>
      <c r="N839" s="1">
        <v>1353</v>
      </c>
      <c r="O839" s="4">
        <f t="shared" si="40"/>
        <v>7.5166666666666666</v>
      </c>
      <c r="P839" s="1">
        <v>180</v>
      </c>
      <c r="Q839" s="1">
        <v>236.53761164698699</v>
      </c>
      <c r="R839" s="1">
        <v>11956.5676612015</v>
      </c>
      <c r="S839" s="5">
        <f t="shared" si="41"/>
        <v>11955.5676612015</v>
      </c>
      <c r="T839" s="1">
        <v>119</v>
      </c>
      <c r="U839" s="1">
        <v>9</v>
      </c>
      <c r="V839" s="1">
        <v>10</v>
      </c>
      <c r="W839" s="1">
        <v>692</v>
      </c>
      <c r="X839" s="1">
        <v>0.462100686372381</v>
      </c>
    </row>
    <row r="840" spans="1:24" x14ac:dyDescent="0.3">
      <c r="A840" s="2">
        <v>45328</v>
      </c>
      <c r="B840" s="1" t="s">
        <v>40</v>
      </c>
      <c r="C840" s="1" t="s">
        <v>26</v>
      </c>
      <c r="D840" s="1" t="s">
        <v>27</v>
      </c>
      <c r="E840" s="1" t="s">
        <v>28</v>
      </c>
      <c r="F840" s="1">
        <v>51</v>
      </c>
      <c r="G840" s="1" t="str" cm="1">
        <f t="array" ref="G840">_xlfn.IFS(F840&lt;=25,"YOUTH",F840&lt;=48,"ADULT",TRUE,"SENIOR")</f>
        <v>SENIOR</v>
      </c>
      <c r="H840" s="1" t="s">
        <v>21</v>
      </c>
      <c r="I840" s="1" t="s">
        <v>33</v>
      </c>
      <c r="J840" s="1" t="s">
        <v>23</v>
      </c>
      <c r="K840" s="1" t="s">
        <v>24</v>
      </c>
      <c r="L840" s="1">
        <v>24207</v>
      </c>
      <c r="M840" s="3">
        <f t="shared" si="39"/>
        <v>0.11612343536993432</v>
      </c>
      <c r="N840" s="1">
        <v>2811</v>
      </c>
      <c r="O840" s="4">
        <f t="shared" si="40"/>
        <v>4.4976000000000003</v>
      </c>
      <c r="P840" s="1">
        <v>625</v>
      </c>
      <c r="Q840" s="1">
        <v>497.81039035043</v>
      </c>
      <c r="R840" s="1">
        <v>43249.139543860598</v>
      </c>
      <c r="S840" s="5">
        <f t="shared" si="41"/>
        <v>43248.139543860598</v>
      </c>
      <c r="T840" s="1">
        <v>376</v>
      </c>
      <c r="U840" s="1">
        <v>44</v>
      </c>
      <c r="V840" s="1">
        <v>26</v>
      </c>
      <c r="W840" s="1">
        <v>2239</v>
      </c>
      <c r="X840" s="1">
        <v>0.77521033299999997</v>
      </c>
    </row>
    <row r="841" spans="1:24" x14ac:dyDescent="0.3">
      <c r="A841" s="2">
        <v>45331</v>
      </c>
      <c r="B841" s="1" t="s">
        <v>40</v>
      </c>
      <c r="C841" s="1" t="s">
        <v>41</v>
      </c>
      <c r="D841" s="1" t="s">
        <v>19</v>
      </c>
      <c r="E841" s="1" t="s">
        <v>28</v>
      </c>
      <c r="F841" s="1">
        <v>23</v>
      </c>
      <c r="G841" s="1" t="str" cm="1">
        <f t="array" ref="G841">_xlfn.IFS(F841&lt;=25,"YOUTH",F841&lt;=48,"ADULT",TRUE,"SENIOR")</f>
        <v>YOUTH</v>
      </c>
      <c r="H841" s="1" t="s">
        <v>29</v>
      </c>
      <c r="I841" s="1" t="s">
        <v>37</v>
      </c>
      <c r="J841" s="1" t="s">
        <v>38</v>
      </c>
      <c r="K841" s="1" t="s">
        <v>31</v>
      </c>
      <c r="L841" s="1">
        <v>34957</v>
      </c>
      <c r="M841" s="3">
        <f t="shared" si="39"/>
        <v>0.12109162685585148</v>
      </c>
      <c r="N841" s="1">
        <v>4233</v>
      </c>
      <c r="O841" s="4">
        <f t="shared" si="40"/>
        <v>8.9872611464968148</v>
      </c>
      <c r="P841" s="1">
        <v>471</v>
      </c>
      <c r="Q841" s="1">
        <v>3631.7367677152902</v>
      </c>
      <c r="R841" s="1">
        <v>16849.209562499502</v>
      </c>
      <c r="S841" s="5">
        <f t="shared" si="41"/>
        <v>16848.209562499502</v>
      </c>
      <c r="T841" s="1">
        <v>759</v>
      </c>
      <c r="U841" s="1">
        <v>40</v>
      </c>
      <c r="V841" s="1">
        <v>68</v>
      </c>
      <c r="W841" s="1">
        <v>2575</v>
      </c>
      <c r="X841" s="1">
        <v>0.642388543325354</v>
      </c>
    </row>
    <row r="842" spans="1:24" x14ac:dyDescent="0.3">
      <c r="A842" s="2">
        <v>45300</v>
      </c>
      <c r="B842" s="1" t="s">
        <v>17</v>
      </c>
      <c r="C842" s="1" t="s">
        <v>41</v>
      </c>
      <c r="D842" s="1" t="s">
        <v>19</v>
      </c>
      <c r="E842" s="1" t="s">
        <v>28</v>
      </c>
      <c r="F842" s="1">
        <v>54</v>
      </c>
      <c r="G842" s="1" t="str" cm="1">
        <f t="array" ref="G842">_xlfn.IFS(F842&lt;=25,"YOUTH",F842&lt;=48,"ADULT",TRUE,"SENIOR")</f>
        <v>SENIOR</v>
      </c>
      <c r="H842" s="1" t="s">
        <v>29</v>
      </c>
      <c r="I842" s="1" t="s">
        <v>33</v>
      </c>
      <c r="J842" s="1" t="s">
        <v>23</v>
      </c>
      <c r="K842" s="1" t="s">
        <v>24</v>
      </c>
      <c r="L842" s="1">
        <v>14908</v>
      </c>
      <c r="M842" s="3">
        <f t="shared" si="39"/>
        <v>9.6257043198282807E-2</v>
      </c>
      <c r="N842" s="1">
        <v>1435</v>
      </c>
      <c r="O842" s="4">
        <f t="shared" si="40"/>
        <v>12.264957264957266</v>
      </c>
      <c r="P842" s="1">
        <v>117</v>
      </c>
      <c r="Q842" s="1">
        <v>1107.0729489687601</v>
      </c>
      <c r="R842" s="1">
        <v>6687.6455243867504</v>
      </c>
      <c r="S842" s="5">
        <f t="shared" si="41"/>
        <v>6686.6455243867504</v>
      </c>
      <c r="T842" s="1">
        <v>80</v>
      </c>
      <c r="U842" s="1">
        <v>5</v>
      </c>
      <c r="V842" s="1">
        <v>5</v>
      </c>
      <c r="W842" s="1">
        <v>1100</v>
      </c>
      <c r="X842" s="1">
        <v>0.83812501501870396</v>
      </c>
    </row>
    <row r="843" spans="1:24" x14ac:dyDescent="0.3">
      <c r="A843" s="2">
        <v>45296</v>
      </c>
      <c r="B843" s="1" t="s">
        <v>40</v>
      </c>
      <c r="C843" s="1" t="s">
        <v>41</v>
      </c>
      <c r="D843" s="1" t="s">
        <v>27</v>
      </c>
      <c r="E843" s="1" t="s">
        <v>20</v>
      </c>
      <c r="F843" s="1">
        <v>50</v>
      </c>
      <c r="G843" s="1" t="str" cm="1">
        <f t="array" ref="G843">_xlfn.IFS(F843&lt;=25,"YOUTH",F843&lt;=48,"ADULT",TRUE,"SENIOR")</f>
        <v>SENIOR</v>
      </c>
      <c r="H843" s="1" t="s">
        <v>29</v>
      </c>
      <c r="I843" s="1" t="s">
        <v>33</v>
      </c>
      <c r="J843" s="1" t="s">
        <v>38</v>
      </c>
      <c r="K843" s="1" t="s">
        <v>24</v>
      </c>
      <c r="L843" s="1">
        <v>31652</v>
      </c>
      <c r="M843" s="3">
        <f t="shared" si="39"/>
        <v>0.148015923164413</v>
      </c>
      <c r="N843" s="1">
        <v>4685</v>
      </c>
      <c r="O843" s="4">
        <f t="shared" si="40"/>
        <v>10.010683760683762</v>
      </c>
      <c r="P843" s="1">
        <v>468</v>
      </c>
      <c r="Q843" s="1">
        <v>1857.3735117050801</v>
      </c>
      <c r="R843" s="1">
        <v>24749.984343945998</v>
      </c>
      <c r="S843" s="5">
        <f t="shared" si="41"/>
        <v>24748.984343945998</v>
      </c>
      <c r="T843" s="1">
        <v>807</v>
      </c>
      <c r="U843" s="1">
        <v>122</v>
      </c>
      <c r="V843" s="1">
        <v>69</v>
      </c>
      <c r="W843" s="1">
        <v>3579</v>
      </c>
      <c r="X843" s="1">
        <v>0.87379471401118303</v>
      </c>
    </row>
    <row r="844" spans="1:24" x14ac:dyDescent="0.3">
      <c r="A844" s="2">
        <v>45333</v>
      </c>
      <c r="B844" s="1" t="s">
        <v>25</v>
      </c>
      <c r="C844" s="1" t="s">
        <v>41</v>
      </c>
      <c r="D844" s="1" t="s">
        <v>27</v>
      </c>
      <c r="E844" s="1" t="s">
        <v>20</v>
      </c>
      <c r="F844" s="1">
        <v>39</v>
      </c>
      <c r="G844" s="1" t="str" cm="1">
        <f t="array" ref="G844">_xlfn.IFS(F844&lt;=25,"YOUTH",F844&lt;=48,"ADULT",TRUE,"SENIOR")</f>
        <v>ADULT</v>
      </c>
      <c r="H844" s="1" t="s">
        <v>29</v>
      </c>
      <c r="I844" s="1" t="s">
        <v>33</v>
      </c>
      <c r="J844" s="1" t="s">
        <v>23</v>
      </c>
      <c r="K844" s="1" t="s">
        <v>31</v>
      </c>
      <c r="L844" s="1">
        <v>31344</v>
      </c>
      <c r="M844" s="3">
        <f t="shared" si="39"/>
        <v>9.9572485962225621E-2</v>
      </c>
      <c r="N844" s="1">
        <v>3121</v>
      </c>
      <c r="O844" s="4">
        <f t="shared" si="40"/>
        <v>5.4372822299651569</v>
      </c>
      <c r="P844" s="1">
        <v>574</v>
      </c>
      <c r="Q844" s="1">
        <v>4345.8810609223201</v>
      </c>
      <c r="R844" s="1">
        <v>13962.923741894399</v>
      </c>
      <c r="S844" s="5">
        <f t="shared" si="41"/>
        <v>13961.923741894399</v>
      </c>
      <c r="T844" s="1">
        <v>846</v>
      </c>
      <c r="U844" s="1">
        <v>137</v>
      </c>
      <c r="V844" s="1">
        <v>55</v>
      </c>
      <c r="W844" s="1">
        <v>1456</v>
      </c>
      <c r="X844" s="1">
        <v>0.86529388256297701</v>
      </c>
    </row>
    <row r="845" spans="1:24" x14ac:dyDescent="0.3">
      <c r="A845" s="2">
        <v>45348</v>
      </c>
      <c r="B845" s="1" t="s">
        <v>40</v>
      </c>
      <c r="C845" s="1" t="s">
        <v>41</v>
      </c>
      <c r="D845" s="1" t="s">
        <v>32</v>
      </c>
      <c r="E845" s="1" t="s">
        <v>28</v>
      </c>
      <c r="F845" s="1">
        <v>38</v>
      </c>
      <c r="G845" s="1" t="str" cm="1">
        <f t="array" ref="G845">_xlfn.IFS(F845&lt;=25,"YOUTH",F845&lt;=48,"ADULT",TRUE,"SENIOR")</f>
        <v>ADULT</v>
      </c>
      <c r="H845" s="1" t="s">
        <v>42</v>
      </c>
      <c r="I845" s="1" t="s">
        <v>37</v>
      </c>
      <c r="J845" s="1" t="s">
        <v>23</v>
      </c>
      <c r="K845" s="1" t="s">
        <v>24</v>
      </c>
      <c r="L845" s="1">
        <v>26034</v>
      </c>
      <c r="M845" s="3">
        <f t="shared" si="39"/>
        <v>0.13040639164169932</v>
      </c>
      <c r="N845" s="1">
        <v>3395</v>
      </c>
      <c r="O845" s="4">
        <f t="shared" si="40"/>
        <v>6.7764471057884235</v>
      </c>
      <c r="P845" s="1">
        <v>501</v>
      </c>
      <c r="Q845" s="1">
        <v>1173.2056343593999</v>
      </c>
      <c r="R845" s="1">
        <v>4412.0946680993702</v>
      </c>
      <c r="S845" s="5">
        <f t="shared" si="41"/>
        <v>4411.0946680993702</v>
      </c>
      <c r="T845" s="1">
        <v>688</v>
      </c>
      <c r="U845" s="1">
        <v>46</v>
      </c>
      <c r="V845" s="1">
        <v>42</v>
      </c>
      <c r="W845" s="1">
        <v>2918</v>
      </c>
      <c r="X845" s="1">
        <v>0.57215507055829096</v>
      </c>
    </row>
    <row r="846" spans="1:24" x14ac:dyDescent="0.3">
      <c r="A846" s="2">
        <v>45293</v>
      </c>
      <c r="B846" s="1" t="s">
        <v>40</v>
      </c>
      <c r="C846" s="1" t="s">
        <v>26</v>
      </c>
      <c r="D846" s="1" t="s">
        <v>36</v>
      </c>
      <c r="E846" s="1" t="s">
        <v>20</v>
      </c>
      <c r="F846" s="1">
        <v>23</v>
      </c>
      <c r="G846" s="1" t="str" cm="1">
        <f t="array" ref="G846">_xlfn.IFS(F846&lt;=25,"YOUTH",F846&lt;=48,"ADULT",TRUE,"SENIOR")</f>
        <v>YOUTH</v>
      </c>
      <c r="H846" s="1" t="s">
        <v>29</v>
      </c>
      <c r="I846" s="1" t="s">
        <v>22</v>
      </c>
      <c r="J846" s="1" t="s">
        <v>23</v>
      </c>
      <c r="K846" s="1" t="s">
        <v>24</v>
      </c>
      <c r="L846" s="1">
        <v>26788</v>
      </c>
      <c r="M846" s="3">
        <f t="shared" si="39"/>
        <v>0.14237718381364789</v>
      </c>
      <c r="N846" s="1">
        <v>3814</v>
      </c>
      <c r="O846" s="4">
        <f t="shared" si="40"/>
        <v>4.388952819332566</v>
      </c>
      <c r="P846" s="1">
        <v>869</v>
      </c>
      <c r="Q846" s="1">
        <v>1891.7107340726</v>
      </c>
      <c r="R846" s="1">
        <v>12397.290184267</v>
      </c>
      <c r="S846" s="5">
        <f t="shared" si="41"/>
        <v>12396.290184267</v>
      </c>
      <c r="T846" s="1">
        <v>385</v>
      </c>
      <c r="U846" s="1">
        <v>32</v>
      </c>
      <c r="V846" s="1">
        <v>30</v>
      </c>
      <c r="W846" s="1">
        <v>1687</v>
      </c>
      <c r="X846" s="1">
        <v>0.67805026588248996</v>
      </c>
    </row>
    <row r="847" spans="1:24" x14ac:dyDescent="0.3">
      <c r="A847" s="2">
        <v>45300</v>
      </c>
      <c r="B847" s="1" t="s">
        <v>17</v>
      </c>
      <c r="C847" s="1" t="s">
        <v>18</v>
      </c>
      <c r="D847" s="1" t="s">
        <v>19</v>
      </c>
      <c r="E847" s="1" t="s">
        <v>20</v>
      </c>
      <c r="F847" s="1">
        <v>23</v>
      </c>
      <c r="G847" s="1" t="str" cm="1">
        <f t="array" ref="G847">_xlfn.IFS(F847&lt;=25,"YOUTH",F847&lt;=48,"ADULT",TRUE,"SENIOR")</f>
        <v>YOUTH</v>
      </c>
      <c r="H847" s="1" t="s">
        <v>29</v>
      </c>
      <c r="I847" s="1" t="s">
        <v>37</v>
      </c>
      <c r="J847" s="1" t="s">
        <v>23</v>
      </c>
      <c r="K847" s="1" t="s">
        <v>39</v>
      </c>
      <c r="L847" s="1">
        <v>13751</v>
      </c>
      <c r="M847" s="3">
        <f t="shared" si="39"/>
        <v>0.14013526288997163</v>
      </c>
      <c r="N847" s="1">
        <v>1927</v>
      </c>
      <c r="O847" s="4">
        <f t="shared" si="40"/>
        <v>6.3180327868852455</v>
      </c>
      <c r="P847" s="1">
        <v>305</v>
      </c>
      <c r="Q847" s="1">
        <v>1955.9495846924699</v>
      </c>
      <c r="R847" s="1">
        <v>18144.180869540101</v>
      </c>
      <c r="S847" s="5">
        <f t="shared" si="41"/>
        <v>18143.180869540101</v>
      </c>
      <c r="T847" s="1">
        <v>227</v>
      </c>
      <c r="U847" s="1">
        <v>14</v>
      </c>
      <c r="V847" s="1">
        <v>4</v>
      </c>
      <c r="W847" s="1">
        <v>892</v>
      </c>
      <c r="X847" s="1">
        <v>0.75757795405582995</v>
      </c>
    </row>
    <row r="848" spans="1:24" x14ac:dyDescent="0.3">
      <c r="A848" s="2">
        <v>45334</v>
      </c>
      <c r="B848" s="1" t="s">
        <v>40</v>
      </c>
      <c r="C848" s="1" t="s">
        <v>18</v>
      </c>
      <c r="D848" s="1" t="s">
        <v>27</v>
      </c>
      <c r="E848" s="1" t="s">
        <v>20</v>
      </c>
      <c r="F848" s="1">
        <v>21</v>
      </c>
      <c r="G848" s="1" t="str" cm="1">
        <f t="array" ref="G848">_xlfn.IFS(F848&lt;=25,"YOUTH",F848&lt;=48,"ADULT",TRUE,"SENIOR")</f>
        <v>YOUTH</v>
      </c>
      <c r="H848" s="1" t="s">
        <v>21</v>
      </c>
      <c r="I848" s="1" t="s">
        <v>33</v>
      </c>
      <c r="J848" s="1" t="s">
        <v>38</v>
      </c>
      <c r="K848" s="1" t="s">
        <v>39</v>
      </c>
      <c r="L848" s="1">
        <v>48482</v>
      </c>
      <c r="M848" s="3">
        <f t="shared" si="39"/>
        <v>6.3384348830493792E-2</v>
      </c>
      <c r="N848" s="1">
        <v>3073</v>
      </c>
      <c r="O848" s="4">
        <f t="shared" si="40"/>
        <v>7.5134474327628364</v>
      </c>
      <c r="P848" s="1">
        <v>409</v>
      </c>
      <c r="Q848" s="1">
        <v>3661.5474493305101</v>
      </c>
      <c r="R848" s="1">
        <v>21484.319404601101</v>
      </c>
      <c r="S848" s="5">
        <f t="shared" si="41"/>
        <v>21483.319404601101</v>
      </c>
      <c r="T848" s="1">
        <v>257</v>
      </c>
      <c r="U848" s="1">
        <v>29</v>
      </c>
      <c r="V848" s="1">
        <v>19</v>
      </c>
      <c r="W848" s="1">
        <v>7289</v>
      </c>
      <c r="X848" s="1">
        <v>0.577090698006268</v>
      </c>
    </row>
    <row r="849" spans="1:24" x14ac:dyDescent="0.3">
      <c r="A849" s="2">
        <v>45327</v>
      </c>
      <c r="B849" s="1" t="s">
        <v>34</v>
      </c>
      <c r="C849" s="1" t="s">
        <v>41</v>
      </c>
      <c r="D849" s="1" t="s">
        <v>32</v>
      </c>
      <c r="E849" s="1" t="s">
        <v>28</v>
      </c>
      <c r="F849" s="1">
        <v>47</v>
      </c>
      <c r="G849" s="1" t="str" cm="1">
        <f t="array" ref="G849">_xlfn.IFS(F849&lt;=25,"YOUTH",F849&lt;=48,"ADULT",TRUE,"SENIOR")</f>
        <v>ADULT</v>
      </c>
      <c r="H849" s="1" t="s">
        <v>29</v>
      </c>
      <c r="I849" s="1" t="s">
        <v>43</v>
      </c>
      <c r="J849" s="1" t="s">
        <v>23</v>
      </c>
      <c r="K849" s="1" t="s">
        <v>24</v>
      </c>
      <c r="L849" s="1">
        <v>34793</v>
      </c>
      <c r="M849" s="3">
        <f t="shared" si="39"/>
        <v>2.1009973270485441E-2</v>
      </c>
      <c r="N849" s="1">
        <v>731</v>
      </c>
      <c r="O849" s="4">
        <f t="shared" si="40"/>
        <v>5.006849315068493</v>
      </c>
      <c r="P849" s="1">
        <v>146</v>
      </c>
      <c r="Q849" s="1">
        <v>3204.7894626133502</v>
      </c>
      <c r="R849" s="1">
        <v>7034.5376739470103</v>
      </c>
      <c r="S849" s="5">
        <f t="shared" si="41"/>
        <v>7033.5376739470103</v>
      </c>
      <c r="T849" s="1">
        <v>521</v>
      </c>
      <c r="U849" s="1">
        <v>35</v>
      </c>
      <c r="V849" s="1">
        <v>49</v>
      </c>
      <c r="W849" s="1">
        <v>543</v>
      </c>
      <c r="X849" s="1">
        <v>0.42260462300000001</v>
      </c>
    </row>
    <row r="850" spans="1:24" x14ac:dyDescent="0.3">
      <c r="A850" s="2">
        <v>45313</v>
      </c>
      <c r="B850" s="1" t="s">
        <v>25</v>
      </c>
      <c r="C850" s="1" t="s">
        <v>26</v>
      </c>
      <c r="D850" s="1" t="s">
        <v>36</v>
      </c>
      <c r="E850" s="1" t="s">
        <v>28</v>
      </c>
      <c r="F850" s="1">
        <v>28</v>
      </c>
      <c r="G850" s="1" t="str" cm="1">
        <f t="array" ref="G850">_xlfn.IFS(F850&lt;=25,"YOUTH",F850&lt;=48,"ADULT",TRUE,"SENIOR")</f>
        <v>ADULT</v>
      </c>
      <c r="H850" s="1" t="s">
        <v>42</v>
      </c>
      <c r="I850" s="1" t="s">
        <v>43</v>
      </c>
      <c r="J850" s="1" t="s">
        <v>23</v>
      </c>
      <c r="K850" s="1" t="s">
        <v>39</v>
      </c>
      <c r="L850" s="1">
        <v>33839</v>
      </c>
      <c r="M850" s="3">
        <f t="shared" si="39"/>
        <v>3.4043559206832351E-2</v>
      </c>
      <c r="N850" s="1">
        <v>1152</v>
      </c>
      <c r="O850" s="4">
        <f t="shared" si="40"/>
        <v>4.2043795620437958</v>
      </c>
      <c r="P850" s="1">
        <v>274</v>
      </c>
      <c r="Q850" s="1">
        <v>1030.1874996198301</v>
      </c>
      <c r="R850" s="1">
        <v>3696.8556925173002</v>
      </c>
      <c r="S850" s="5">
        <f t="shared" si="41"/>
        <v>3695.8556925173002</v>
      </c>
      <c r="T850" s="1">
        <v>558</v>
      </c>
      <c r="U850" s="1">
        <v>64</v>
      </c>
      <c r="V850" s="1">
        <v>43</v>
      </c>
      <c r="W850" s="1">
        <v>2787</v>
      </c>
      <c r="X850" s="1">
        <v>0.67261541026330496</v>
      </c>
    </row>
    <row r="851" spans="1:24" x14ac:dyDescent="0.3">
      <c r="A851" s="2">
        <v>45313</v>
      </c>
      <c r="B851" s="1" t="s">
        <v>17</v>
      </c>
      <c r="C851" s="1" t="s">
        <v>18</v>
      </c>
      <c r="D851" s="1" t="s">
        <v>27</v>
      </c>
      <c r="E851" s="1" t="s">
        <v>20</v>
      </c>
      <c r="F851" s="1">
        <v>47</v>
      </c>
      <c r="G851" s="1" t="str" cm="1">
        <f t="array" ref="G851">_xlfn.IFS(F851&lt;=25,"YOUTH",F851&lt;=48,"ADULT",TRUE,"SENIOR")</f>
        <v>ADULT</v>
      </c>
      <c r="H851" s="1" t="s">
        <v>21</v>
      </c>
      <c r="I851" s="1" t="s">
        <v>33</v>
      </c>
      <c r="J851" s="1" t="s">
        <v>23</v>
      </c>
      <c r="K851" s="1" t="s">
        <v>31</v>
      </c>
      <c r="L851" s="1">
        <v>39314</v>
      </c>
      <c r="M851" s="3">
        <f t="shared" si="39"/>
        <v>1.8288650353563616E-2</v>
      </c>
      <c r="N851" s="1">
        <v>719</v>
      </c>
      <c r="O851" s="4">
        <f t="shared" si="40"/>
        <v>9.8493150684931514</v>
      </c>
      <c r="P851" s="1">
        <v>73</v>
      </c>
      <c r="Q851" s="1">
        <v>4824.6781734628403</v>
      </c>
      <c r="R851" s="1">
        <v>3401.4711119527301</v>
      </c>
      <c r="S851" s="5">
        <f t="shared" si="41"/>
        <v>3400.4711119527301</v>
      </c>
      <c r="T851" s="1">
        <v>1087</v>
      </c>
      <c r="U851" s="1">
        <v>173</v>
      </c>
      <c r="V851" s="1">
        <v>24</v>
      </c>
      <c r="W851" s="1">
        <v>3437</v>
      </c>
      <c r="X851" s="1">
        <v>0.40705008340607601</v>
      </c>
    </row>
    <row r="852" spans="1:24" x14ac:dyDescent="0.3">
      <c r="A852" s="2">
        <v>45313</v>
      </c>
      <c r="B852" s="1" t="s">
        <v>25</v>
      </c>
      <c r="C852" s="1" t="s">
        <v>18</v>
      </c>
      <c r="D852" s="1" t="s">
        <v>36</v>
      </c>
      <c r="E852" s="1" t="s">
        <v>20</v>
      </c>
      <c r="F852" s="1">
        <v>48</v>
      </c>
      <c r="G852" s="1" t="str" cm="1">
        <f t="array" ref="G852">_xlfn.IFS(F852&lt;=25,"YOUTH",F852&lt;=48,"ADULT",TRUE,"SENIOR")</f>
        <v>ADULT</v>
      </c>
      <c r="H852" s="1" t="s">
        <v>21</v>
      </c>
      <c r="I852" s="1" t="s">
        <v>43</v>
      </c>
      <c r="J852" s="1" t="s">
        <v>23</v>
      </c>
      <c r="K852" s="1" t="s">
        <v>24</v>
      </c>
      <c r="L852" s="1">
        <v>36453</v>
      </c>
      <c r="M852" s="3">
        <f t="shared" si="39"/>
        <v>2.4744191150248264E-2</v>
      </c>
      <c r="N852" s="1">
        <v>902</v>
      </c>
      <c r="O852" s="4">
        <f t="shared" si="40"/>
        <v>13.072463768115941</v>
      </c>
      <c r="P852" s="1">
        <v>69</v>
      </c>
      <c r="Q852" s="1">
        <v>2732.4673411556801</v>
      </c>
      <c r="R852" s="1">
        <v>3808.1032067466199</v>
      </c>
      <c r="S852" s="5">
        <f t="shared" si="41"/>
        <v>3807.1032067466199</v>
      </c>
      <c r="T852" s="1">
        <v>996</v>
      </c>
      <c r="U852" s="1">
        <v>151</v>
      </c>
      <c r="V852" s="1">
        <v>50</v>
      </c>
      <c r="W852" s="1">
        <v>3724</v>
      </c>
      <c r="X852" s="1">
        <v>0.92285509359926998</v>
      </c>
    </row>
    <row r="853" spans="1:24" x14ac:dyDescent="0.3">
      <c r="A853" s="2">
        <v>45325</v>
      </c>
      <c r="B853" s="1" t="s">
        <v>34</v>
      </c>
      <c r="C853" s="1" t="s">
        <v>18</v>
      </c>
      <c r="D853" s="1" t="s">
        <v>36</v>
      </c>
      <c r="E853" s="1" t="s">
        <v>20</v>
      </c>
      <c r="F853" s="1">
        <v>41</v>
      </c>
      <c r="G853" s="1" t="str" cm="1">
        <f t="array" ref="G853">_xlfn.IFS(F853&lt;=25,"YOUTH",F853&lt;=48,"ADULT",TRUE,"SENIOR")</f>
        <v>ADULT</v>
      </c>
      <c r="H853" s="1" t="s">
        <v>29</v>
      </c>
      <c r="I853" s="1" t="s">
        <v>33</v>
      </c>
      <c r="J853" s="1" t="s">
        <v>23</v>
      </c>
      <c r="K853" s="1" t="s">
        <v>39</v>
      </c>
      <c r="L853" s="1">
        <v>10385</v>
      </c>
      <c r="M853" s="3">
        <f t="shared" si="39"/>
        <v>3.5820895522388062E-2</v>
      </c>
      <c r="N853" s="1">
        <v>372</v>
      </c>
      <c r="O853" s="4">
        <f t="shared" si="40"/>
        <v>6.2</v>
      </c>
      <c r="P853" s="1">
        <v>60</v>
      </c>
      <c r="Q853" s="1">
        <v>1288.43544396418</v>
      </c>
      <c r="R853" s="1">
        <v>3656.34682445513</v>
      </c>
      <c r="S853" s="5">
        <f t="shared" si="41"/>
        <v>3655.34682445513</v>
      </c>
      <c r="T853" s="1">
        <v>302</v>
      </c>
      <c r="U853" s="1">
        <v>27</v>
      </c>
      <c r="V853" s="1">
        <v>25</v>
      </c>
      <c r="W853" s="1">
        <v>1423</v>
      </c>
      <c r="X853" s="1">
        <v>0.83817600534016401</v>
      </c>
    </row>
    <row r="854" spans="1:24" x14ac:dyDescent="0.3">
      <c r="A854" s="2">
        <v>45346</v>
      </c>
      <c r="B854" s="1" t="s">
        <v>17</v>
      </c>
      <c r="C854" s="1" t="s">
        <v>26</v>
      </c>
      <c r="D854" s="1" t="s">
        <v>19</v>
      </c>
      <c r="E854" s="1" t="s">
        <v>20</v>
      </c>
      <c r="F854" s="1">
        <v>26</v>
      </c>
      <c r="G854" s="1" t="str" cm="1">
        <f t="array" ref="G854">_xlfn.IFS(F854&lt;=25,"YOUTH",F854&lt;=48,"ADULT",TRUE,"SENIOR")</f>
        <v>ADULT</v>
      </c>
      <c r="H854" s="1" t="s">
        <v>29</v>
      </c>
      <c r="I854" s="1" t="s">
        <v>43</v>
      </c>
      <c r="J854" s="1" t="s">
        <v>23</v>
      </c>
      <c r="K854" s="1" t="s">
        <v>39</v>
      </c>
      <c r="L854" s="1">
        <v>19232</v>
      </c>
      <c r="M854" s="3">
        <f t="shared" si="39"/>
        <v>5.7716306156405987E-2</v>
      </c>
      <c r="N854" s="1">
        <v>1110</v>
      </c>
      <c r="O854" s="4">
        <f t="shared" si="40"/>
        <v>7.449664429530201</v>
      </c>
      <c r="P854" s="1">
        <v>149</v>
      </c>
      <c r="Q854" s="1">
        <v>1019.17471401278</v>
      </c>
      <c r="R854" s="1">
        <v>873.14493899019203</v>
      </c>
      <c r="S854" s="5">
        <f t="shared" si="41"/>
        <v>872.14493899019203</v>
      </c>
      <c r="T854" s="1">
        <v>521</v>
      </c>
      <c r="U854" s="1">
        <v>78</v>
      </c>
      <c r="V854" s="1">
        <v>50</v>
      </c>
      <c r="W854" s="1">
        <v>1543</v>
      </c>
      <c r="X854" s="1">
        <v>0.50560537699999997</v>
      </c>
    </row>
    <row r="855" spans="1:24" x14ac:dyDescent="0.3">
      <c r="A855" s="2">
        <v>45320</v>
      </c>
      <c r="B855" s="1" t="s">
        <v>17</v>
      </c>
      <c r="C855" s="1" t="s">
        <v>41</v>
      </c>
      <c r="D855" s="1" t="s">
        <v>19</v>
      </c>
      <c r="E855" s="1" t="s">
        <v>28</v>
      </c>
      <c r="F855" s="1">
        <v>20</v>
      </c>
      <c r="G855" s="1" t="str" cm="1">
        <f t="array" ref="G855">_xlfn.IFS(F855&lt;=25,"YOUTH",F855&lt;=48,"ADULT",TRUE,"SENIOR")</f>
        <v>YOUTH</v>
      </c>
      <c r="H855" s="1" t="s">
        <v>29</v>
      </c>
      <c r="I855" s="1" t="s">
        <v>37</v>
      </c>
      <c r="J855" s="1" t="s">
        <v>23</v>
      </c>
      <c r="K855" s="1" t="s">
        <v>31</v>
      </c>
      <c r="L855" s="1">
        <v>44344</v>
      </c>
      <c r="M855" s="3">
        <f t="shared" si="39"/>
        <v>8.6077034097059357E-2</v>
      </c>
      <c r="N855" s="1">
        <v>3817</v>
      </c>
      <c r="O855" s="4">
        <f t="shared" si="40"/>
        <v>4.0434322033898304</v>
      </c>
      <c r="P855" s="1">
        <v>944</v>
      </c>
      <c r="Q855" s="1">
        <v>3322.3517029363702</v>
      </c>
      <c r="R855" s="1">
        <v>46719.3922512633</v>
      </c>
      <c r="S855" s="5">
        <f t="shared" si="41"/>
        <v>46718.3922512633</v>
      </c>
      <c r="T855" s="1">
        <v>230</v>
      </c>
      <c r="U855" s="1">
        <v>43</v>
      </c>
      <c r="V855" s="1">
        <v>11</v>
      </c>
      <c r="W855" s="1">
        <v>2239</v>
      </c>
      <c r="X855" s="1">
        <v>0.55816446189056002</v>
      </c>
    </row>
    <row r="856" spans="1:24" x14ac:dyDescent="0.3">
      <c r="A856" s="2">
        <v>45329</v>
      </c>
      <c r="B856" s="1" t="s">
        <v>40</v>
      </c>
      <c r="C856" s="1" t="s">
        <v>41</v>
      </c>
      <c r="D856" s="1" t="s">
        <v>27</v>
      </c>
      <c r="E856" s="1" t="s">
        <v>20</v>
      </c>
      <c r="F856" s="1">
        <v>48</v>
      </c>
      <c r="G856" s="1" t="str" cm="1">
        <f t="array" ref="G856">_xlfn.IFS(F856&lt;=25,"YOUTH",F856&lt;=48,"ADULT",TRUE,"SENIOR")</f>
        <v>ADULT</v>
      </c>
      <c r="H856" s="1" t="s">
        <v>21</v>
      </c>
      <c r="I856" s="1" t="s">
        <v>22</v>
      </c>
      <c r="J856" s="1" t="s">
        <v>38</v>
      </c>
      <c r="K856" s="1" t="s">
        <v>39</v>
      </c>
      <c r="L856" s="1">
        <v>35790</v>
      </c>
      <c r="M856" s="3">
        <f t="shared" si="39"/>
        <v>0.10961162335848003</v>
      </c>
      <c r="N856" s="1">
        <v>3923</v>
      </c>
      <c r="O856" s="4">
        <f t="shared" si="40"/>
        <v>7.9252525252525254</v>
      </c>
      <c r="P856" s="1">
        <v>495</v>
      </c>
      <c r="Q856" s="1">
        <v>4375.3762362254802</v>
      </c>
      <c r="R856" s="1">
        <v>3089.4670690331</v>
      </c>
      <c r="S856" s="5">
        <f t="shared" si="41"/>
        <v>3088.4670690331</v>
      </c>
      <c r="T856" s="1">
        <v>752</v>
      </c>
      <c r="U856" s="1">
        <v>76</v>
      </c>
      <c r="V856" s="1">
        <v>65</v>
      </c>
      <c r="W856" s="1">
        <v>6375</v>
      </c>
      <c r="X856" s="1">
        <v>0.94056120099999996</v>
      </c>
    </row>
    <row r="857" spans="1:24" x14ac:dyDescent="0.3">
      <c r="A857" s="2">
        <v>45350</v>
      </c>
      <c r="B857" s="1" t="s">
        <v>25</v>
      </c>
      <c r="C857" s="1" t="s">
        <v>41</v>
      </c>
      <c r="D857" s="1" t="s">
        <v>36</v>
      </c>
      <c r="E857" s="1" t="s">
        <v>28</v>
      </c>
      <c r="F857" s="1">
        <v>57</v>
      </c>
      <c r="G857" s="1" t="str" cm="1">
        <f t="array" ref="G857">_xlfn.IFS(F857&lt;=25,"YOUTH",F857&lt;=48,"ADULT",TRUE,"SENIOR")</f>
        <v>SENIOR</v>
      </c>
      <c r="H857" s="1" t="s">
        <v>29</v>
      </c>
      <c r="I857" s="1" t="s">
        <v>22</v>
      </c>
      <c r="J857" s="1" t="s">
        <v>23</v>
      </c>
      <c r="K857" s="1" t="s">
        <v>31</v>
      </c>
      <c r="L857" s="1">
        <v>16831</v>
      </c>
      <c r="M857" s="3">
        <f t="shared" si="39"/>
        <v>3.9510427187927043E-2</v>
      </c>
      <c r="N857" s="1">
        <v>665</v>
      </c>
      <c r="O857" s="4">
        <f t="shared" si="40"/>
        <v>27.708333333333332</v>
      </c>
      <c r="P857" s="1">
        <v>24</v>
      </c>
      <c r="Q857" s="1">
        <v>2467.49377062449</v>
      </c>
      <c r="R857" s="1">
        <v>1222.7216390477599</v>
      </c>
      <c r="S857" s="5">
        <f t="shared" si="41"/>
        <v>1221.7216390477599</v>
      </c>
      <c r="T857" s="1">
        <v>112</v>
      </c>
      <c r="U857" s="1">
        <v>11</v>
      </c>
      <c r="V857" s="1">
        <v>9</v>
      </c>
      <c r="W857" s="1">
        <v>3305</v>
      </c>
      <c r="X857" s="1">
        <v>0.60545170477771704</v>
      </c>
    </row>
    <row r="858" spans="1:24" x14ac:dyDescent="0.3">
      <c r="A858" s="2">
        <v>45337</v>
      </c>
      <c r="B858" s="1" t="s">
        <v>34</v>
      </c>
      <c r="C858" s="1" t="s">
        <v>35</v>
      </c>
      <c r="D858" s="1" t="s">
        <v>27</v>
      </c>
      <c r="E858" s="1" t="s">
        <v>28</v>
      </c>
      <c r="F858" s="1">
        <v>54</v>
      </c>
      <c r="G858" s="1" t="str" cm="1">
        <f t="array" ref="G858">_xlfn.IFS(F858&lt;=25,"YOUTH",F858&lt;=48,"ADULT",TRUE,"SENIOR")</f>
        <v>SENIOR</v>
      </c>
      <c r="H858" s="1" t="s">
        <v>29</v>
      </c>
      <c r="I858" s="1" t="s">
        <v>37</v>
      </c>
      <c r="J858" s="1" t="s">
        <v>23</v>
      </c>
      <c r="K858" s="1" t="s">
        <v>24</v>
      </c>
      <c r="L858" s="1">
        <v>21125</v>
      </c>
      <c r="M858" s="3">
        <f t="shared" si="39"/>
        <v>0.10414201183431952</v>
      </c>
      <c r="N858" s="1">
        <v>2200</v>
      </c>
      <c r="O858" s="4">
        <f t="shared" si="40"/>
        <v>4.0892193308550189</v>
      </c>
      <c r="P858" s="1">
        <v>538</v>
      </c>
      <c r="Q858" s="1">
        <v>586.24659634853697</v>
      </c>
      <c r="R858" s="1">
        <v>24917.679124678201</v>
      </c>
      <c r="S858" s="5">
        <f t="shared" si="41"/>
        <v>24916.679124678201</v>
      </c>
      <c r="T858" s="1">
        <v>249</v>
      </c>
      <c r="U858" s="1">
        <v>33</v>
      </c>
      <c r="V858" s="1">
        <v>7</v>
      </c>
      <c r="W858" s="1">
        <v>291</v>
      </c>
      <c r="X858" s="1">
        <v>0.83104729658863996</v>
      </c>
    </row>
    <row r="859" spans="1:24" x14ac:dyDescent="0.3">
      <c r="A859" s="2">
        <v>45324</v>
      </c>
      <c r="B859" s="1" t="s">
        <v>34</v>
      </c>
      <c r="C859" s="1" t="s">
        <v>35</v>
      </c>
      <c r="D859" s="1" t="s">
        <v>27</v>
      </c>
      <c r="E859" s="1" t="s">
        <v>28</v>
      </c>
      <c r="F859" s="1">
        <v>53</v>
      </c>
      <c r="G859" s="1" t="str" cm="1">
        <f t="array" ref="G859">_xlfn.IFS(F859&lt;=25,"YOUTH",F859&lt;=48,"ADULT",TRUE,"SENIOR")</f>
        <v>SENIOR</v>
      </c>
      <c r="H859" s="1" t="s">
        <v>42</v>
      </c>
      <c r="I859" s="1" t="s">
        <v>37</v>
      </c>
      <c r="J859" s="1" t="s">
        <v>23</v>
      </c>
      <c r="K859" s="1" t="s">
        <v>31</v>
      </c>
      <c r="L859" s="1">
        <v>46708</v>
      </c>
      <c r="M859" s="3">
        <f t="shared" si="39"/>
        <v>0.10858953498330051</v>
      </c>
      <c r="N859" s="1">
        <v>5072</v>
      </c>
      <c r="O859" s="4">
        <f t="shared" si="40"/>
        <v>4.6746543778801843</v>
      </c>
      <c r="P859" s="1">
        <v>1085</v>
      </c>
      <c r="Q859" s="1">
        <v>5867.42640753468</v>
      </c>
      <c r="R859" s="1">
        <v>15887.2330323605</v>
      </c>
      <c r="S859" s="5">
        <f t="shared" si="41"/>
        <v>15886.2330323605</v>
      </c>
      <c r="T859" s="1">
        <v>908</v>
      </c>
      <c r="U859" s="1">
        <v>78</v>
      </c>
      <c r="V859" s="1">
        <v>79</v>
      </c>
      <c r="W859" s="1">
        <v>5316</v>
      </c>
      <c r="X859" s="1">
        <v>0.645748507630589</v>
      </c>
    </row>
    <row r="860" spans="1:24" x14ac:dyDescent="0.3">
      <c r="A860" s="2">
        <v>45309</v>
      </c>
      <c r="B860" s="1" t="s">
        <v>17</v>
      </c>
      <c r="C860" s="1" t="s">
        <v>35</v>
      </c>
      <c r="D860" s="1" t="s">
        <v>36</v>
      </c>
      <c r="E860" s="1" t="s">
        <v>20</v>
      </c>
      <c r="F860" s="1">
        <v>41</v>
      </c>
      <c r="G860" s="1" t="str" cm="1">
        <f t="array" ref="G860">_xlfn.IFS(F860&lt;=25,"YOUTH",F860&lt;=48,"ADULT",TRUE,"SENIOR")</f>
        <v>ADULT</v>
      </c>
      <c r="H860" s="1" t="s">
        <v>21</v>
      </c>
      <c r="I860" s="1" t="s">
        <v>33</v>
      </c>
      <c r="J860" s="1" t="s">
        <v>38</v>
      </c>
      <c r="K860" s="1" t="s">
        <v>31</v>
      </c>
      <c r="L860" s="1">
        <v>18682</v>
      </c>
      <c r="M860" s="3">
        <f t="shared" si="39"/>
        <v>8.8159725939406922E-2</v>
      </c>
      <c r="N860" s="1">
        <v>1647</v>
      </c>
      <c r="O860" s="4">
        <f t="shared" si="40"/>
        <v>16.47</v>
      </c>
      <c r="P860" s="1">
        <v>100</v>
      </c>
      <c r="Q860" s="1">
        <v>1103.9115109832501</v>
      </c>
      <c r="R860" s="1">
        <v>5479.7913837433398</v>
      </c>
      <c r="S860" s="5">
        <f t="shared" si="41"/>
        <v>5478.7913837433398</v>
      </c>
      <c r="T860" s="1">
        <v>420</v>
      </c>
      <c r="U860" s="1">
        <v>62</v>
      </c>
      <c r="V860" s="1">
        <v>19</v>
      </c>
      <c r="W860" s="1">
        <v>1399</v>
      </c>
      <c r="X860" s="1">
        <v>0.87525275825533499</v>
      </c>
    </row>
    <row r="861" spans="1:24" x14ac:dyDescent="0.3">
      <c r="A861" s="2">
        <v>45298</v>
      </c>
      <c r="B861" s="1" t="s">
        <v>40</v>
      </c>
      <c r="C861" s="1" t="s">
        <v>26</v>
      </c>
      <c r="D861" s="1" t="s">
        <v>27</v>
      </c>
      <c r="E861" s="1" t="s">
        <v>28</v>
      </c>
      <c r="F861" s="1">
        <v>48</v>
      </c>
      <c r="G861" s="1" t="str" cm="1">
        <f t="array" ref="G861">_xlfn.IFS(F861&lt;=25,"YOUTH",F861&lt;=48,"ADULT",TRUE,"SENIOR")</f>
        <v>ADULT</v>
      </c>
      <c r="H861" s="1" t="s">
        <v>29</v>
      </c>
      <c r="I861" s="1" t="s">
        <v>33</v>
      </c>
      <c r="J861" s="1" t="s">
        <v>23</v>
      </c>
      <c r="K861" s="1" t="s">
        <v>31</v>
      </c>
      <c r="L861" s="1">
        <v>37870</v>
      </c>
      <c r="M861" s="3">
        <f t="shared" si="39"/>
        <v>0.13649326643781357</v>
      </c>
      <c r="N861" s="1">
        <v>5169</v>
      </c>
      <c r="O861" s="4">
        <f t="shared" si="40"/>
        <v>4.3879456706281834</v>
      </c>
      <c r="P861" s="1">
        <v>1178</v>
      </c>
      <c r="Q861" s="1">
        <v>3468.7642461548298</v>
      </c>
      <c r="R861" s="1">
        <v>11123.3771247846</v>
      </c>
      <c r="S861" s="5">
        <f t="shared" si="41"/>
        <v>11122.3771247846</v>
      </c>
      <c r="T861" s="1">
        <v>809</v>
      </c>
      <c r="U861" s="1">
        <v>141</v>
      </c>
      <c r="V861" s="1">
        <v>54</v>
      </c>
      <c r="W861" s="1">
        <v>2371</v>
      </c>
      <c r="X861" s="1">
        <v>0.78706442948882904</v>
      </c>
    </row>
    <row r="862" spans="1:24" x14ac:dyDescent="0.3">
      <c r="A862" s="2">
        <v>45292</v>
      </c>
      <c r="B862" s="1" t="s">
        <v>17</v>
      </c>
      <c r="C862" s="1" t="s">
        <v>18</v>
      </c>
      <c r="D862" s="1" t="s">
        <v>36</v>
      </c>
      <c r="E862" s="1" t="s">
        <v>28</v>
      </c>
      <c r="F862" s="1">
        <v>23</v>
      </c>
      <c r="G862" s="1" t="str" cm="1">
        <f t="array" ref="G862">_xlfn.IFS(F862&lt;=25,"YOUTH",F862&lt;=48,"ADULT",TRUE,"SENIOR")</f>
        <v>YOUTH</v>
      </c>
      <c r="H862" s="1" t="s">
        <v>29</v>
      </c>
      <c r="I862" s="1" t="s">
        <v>33</v>
      </c>
      <c r="J862" s="1" t="s">
        <v>23</v>
      </c>
      <c r="K862" s="1" t="s">
        <v>31</v>
      </c>
      <c r="L862" s="1">
        <v>18288</v>
      </c>
      <c r="M862" s="3">
        <f t="shared" si="39"/>
        <v>2.5535870516185478E-2</v>
      </c>
      <c r="N862" s="1">
        <v>467</v>
      </c>
      <c r="O862" s="4">
        <f t="shared" si="40"/>
        <v>10.377777777777778</v>
      </c>
      <c r="P862" s="1">
        <v>45</v>
      </c>
      <c r="Q862" s="1">
        <v>1055.4369543845</v>
      </c>
      <c r="R862" s="1">
        <v>2642.2164132030498</v>
      </c>
      <c r="S862" s="5">
        <f t="shared" si="41"/>
        <v>2641.2164132030498</v>
      </c>
      <c r="T862" s="1">
        <v>113</v>
      </c>
      <c r="U862" s="1">
        <v>13</v>
      </c>
      <c r="V862" s="1">
        <v>7</v>
      </c>
      <c r="W862" s="1">
        <v>1349</v>
      </c>
      <c r="X862" s="1">
        <v>0.41260053294013699</v>
      </c>
    </row>
    <row r="863" spans="1:24" x14ac:dyDescent="0.3">
      <c r="A863" s="2">
        <v>45324</v>
      </c>
      <c r="B863" s="1" t="s">
        <v>17</v>
      </c>
      <c r="C863" s="1" t="s">
        <v>18</v>
      </c>
      <c r="D863" s="1" t="s">
        <v>36</v>
      </c>
      <c r="E863" s="1" t="s">
        <v>20</v>
      </c>
      <c r="F863" s="1">
        <v>19</v>
      </c>
      <c r="G863" s="1" t="str" cm="1">
        <f t="array" ref="G863">_xlfn.IFS(F863&lt;=25,"YOUTH",F863&lt;=48,"ADULT",TRUE,"SENIOR")</f>
        <v>YOUTH</v>
      </c>
      <c r="H863" s="1" t="s">
        <v>42</v>
      </c>
      <c r="I863" s="1" t="s">
        <v>43</v>
      </c>
      <c r="J863" s="1" t="s">
        <v>23</v>
      </c>
      <c r="K863" s="1" t="s">
        <v>39</v>
      </c>
      <c r="L863" s="1">
        <v>36794</v>
      </c>
      <c r="M863" s="3">
        <f t="shared" si="39"/>
        <v>3.4788280697939884E-2</v>
      </c>
      <c r="N863" s="1">
        <v>1280</v>
      </c>
      <c r="O863" s="4">
        <f t="shared" si="40"/>
        <v>9.4117647058823533</v>
      </c>
      <c r="P863" s="1">
        <v>136</v>
      </c>
      <c r="Q863" s="1">
        <v>3670.1246532966602</v>
      </c>
      <c r="R863" s="1">
        <v>2995.4545244583401</v>
      </c>
      <c r="S863" s="5">
        <f t="shared" si="41"/>
        <v>2994.4545244583401</v>
      </c>
      <c r="T863" s="1">
        <v>279</v>
      </c>
      <c r="U863" s="1">
        <v>42</v>
      </c>
      <c r="V863" s="1">
        <v>20</v>
      </c>
      <c r="W863" s="1">
        <v>4834</v>
      </c>
      <c r="X863" s="1">
        <v>0.56191443726657997</v>
      </c>
    </row>
    <row r="864" spans="1:24" x14ac:dyDescent="0.3">
      <c r="A864" s="2">
        <v>45292</v>
      </c>
      <c r="B864" s="1" t="s">
        <v>17</v>
      </c>
      <c r="C864" s="1" t="s">
        <v>26</v>
      </c>
      <c r="D864" s="1" t="s">
        <v>36</v>
      </c>
      <c r="E864" s="1" t="s">
        <v>20</v>
      </c>
      <c r="F864" s="1">
        <v>37</v>
      </c>
      <c r="G864" s="1" t="str" cm="1">
        <f t="array" ref="G864">_xlfn.IFS(F864&lt;=25,"YOUTH",F864&lt;=48,"ADULT",TRUE,"SENIOR")</f>
        <v>ADULT</v>
      </c>
      <c r="H864" s="1" t="s">
        <v>29</v>
      </c>
      <c r="I864" s="1" t="s">
        <v>33</v>
      </c>
      <c r="J864" s="1" t="s">
        <v>30</v>
      </c>
      <c r="K864" s="1" t="s">
        <v>24</v>
      </c>
      <c r="L864" s="1">
        <v>40477</v>
      </c>
      <c r="M864" s="3">
        <f t="shared" si="39"/>
        <v>6.9990364898584387E-2</v>
      </c>
      <c r="N864" s="1">
        <v>2833</v>
      </c>
      <c r="O864" s="4">
        <f t="shared" si="40"/>
        <v>4.3786707882534772</v>
      </c>
      <c r="P864" s="1">
        <v>647</v>
      </c>
      <c r="Q864" s="1">
        <v>2671.2540328769001</v>
      </c>
      <c r="R864" s="1">
        <v>32204.665069054401</v>
      </c>
      <c r="S864" s="5">
        <f t="shared" si="41"/>
        <v>32203.665069054401</v>
      </c>
      <c r="T864" s="1">
        <v>332</v>
      </c>
      <c r="U864" s="1">
        <v>49</v>
      </c>
      <c r="V864" s="1">
        <v>26</v>
      </c>
      <c r="W864" s="1">
        <v>1871</v>
      </c>
      <c r="X864" s="1">
        <v>0.70689577319139796</v>
      </c>
    </row>
    <row r="865" spans="1:24" x14ac:dyDescent="0.3">
      <c r="A865" s="2">
        <v>45315</v>
      </c>
      <c r="B865" s="1" t="s">
        <v>17</v>
      </c>
      <c r="C865" s="1" t="s">
        <v>26</v>
      </c>
      <c r="D865" s="1" t="s">
        <v>36</v>
      </c>
      <c r="E865" s="1" t="s">
        <v>20</v>
      </c>
      <c r="F865" s="1">
        <v>45</v>
      </c>
      <c r="G865" s="1" t="str" cm="1">
        <f t="array" ref="G865">_xlfn.IFS(F865&lt;=25,"YOUTH",F865&lt;=48,"ADULT",TRUE,"SENIOR")</f>
        <v>ADULT</v>
      </c>
      <c r="H865" s="1" t="s">
        <v>21</v>
      </c>
      <c r="I865" s="1" t="s">
        <v>37</v>
      </c>
      <c r="J865" s="1" t="s">
        <v>23</v>
      </c>
      <c r="K865" s="1" t="s">
        <v>24</v>
      </c>
      <c r="L865" s="1">
        <v>25405</v>
      </c>
      <c r="M865" s="3">
        <f t="shared" si="39"/>
        <v>2.7711080495965362E-2</v>
      </c>
      <c r="N865" s="1">
        <v>704</v>
      </c>
      <c r="O865" s="4">
        <f t="shared" si="40"/>
        <v>7.1111111111111107</v>
      </c>
      <c r="P865" s="1">
        <v>99</v>
      </c>
      <c r="Q865" s="1">
        <v>1609.9132199999999</v>
      </c>
      <c r="R865" s="1">
        <v>6438.9409094757302</v>
      </c>
      <c r="S865" s="5">
        <f t="shared" si="41"/>
        <v>6437.9409094757302</v>
      </c>
      <c r="T865" s="1">
        <v>185</v>
      </c>
      <c r="U865" s="1">
        <v>10</v>
      </c>
      <c r="V865" s="1">
        <v>10</v>
      </c>
      <c r="W865" s="1">
        <v>4660</v>
      </c>
      <c r="X865" s="1">
        <v>0.90939572423836401</v>
      </c>
    </row>
    <row r="866" spans="1:24" x14ac:dyDescent="0.3">
      <c r="A866" s="2">
        <v>45295</v>
      </c>
      <c r="B866" s="1" t="s">
        <v>34</v>
      </c>
      <c r="C866" s="1" t="s">
        <v>41</v>
      </c>
      <c r="D866" s="1" t="s">
        <v>32</v>
      </c>
      <c r="E866" s="1" t="s">
        <v>28</v>
      </c>
      <c r="F866" s="1">
        <v>28</v>
      </c>
      <c r="G866" s="1" t="str" cm="1">
        <f t="array" ref="G866">_xlfn.IFS(F866&lt;=25,"YOUTH",F866&lt;=48,"ADULT",TRUE,"SENIOR")</f>
        <v>ADULT</v>
      </c>
      <c r="H866" s="1" t="s">
        <v>21</v>
      </c>
      <c r="I866" s="1" t="s">
        <v>22</v>
      </c>
      <c r="J866" s="1" t="s">
        <v>38</v>
      </c>
      <c r="K866" s="1" t="s">
        <v>31</v>
      </c>
      <c r="L866" s="1">
        <v>39737</v>
      </c>
      <c r="M866" s="3">
        <f t="shared" si="39"/>
        <v>8.9261896972594817E-2</v>
      </c>
      <c r="N866" s="1">
        <v>3547</v>
      </c>
      <c r="O866" s="4">
        <f t="shared" si="40"/>
        <v>19.382513661202186</v>
      </c>
      <c r="P866" s="1">
        <v>183</v>
      </c>
      <c r="Q866" s="1">
        <v>990.72211630000004</v>
      </c>
      <c r="R866" s="1">
        <v>4957.2424584906703</v>
      </c>
      <c r="S866" s="5">
        <f t="shared" si="41"/>
        <v>4956.2424584906703</v>
      </c>
      <c r="T866" s="1">
        <v>375</v>
      </c>
      <c r="U866" s="1">
        <v>29</v>
      </c>
      <c r="V866" s="1">
        <v>34</v>
      </c>
      <c r="W866" s="1">
        <v>3916</v>
      </c>
      <c r="X866" s="1">
        <v>0.45611644205281898</v>
      </c>
    </row>
    <row r="867" spans="1:24" x14ac:dyDescent="0.3">
      <c r="A867" s="2">
        <v>45295</v>
      </c>
      <c r="B867" s="1" t="s">
        <v>34</v>
      </c>
      <c r="C867" s="1" t="s">
        <v>41</v>
      </c>
      <c r="D867" s="1" t="s">
        <v>36</v>
      </c>
      <c r="E867" s="1" t="s">
        <v>20</v>
      </c>
      <c r="F867" s="1">
        <v>21</v>
      </c>
      <c r="G867" s="1" t="str" cm="1">
        <f t="array" ref="G867">_xlfn.IFS(F867&lt;=25,"YOUTH",F867&lt;=48,"ADULT",TRUE,"SENIOR")</f>
        <v>YOUTH</v>
      </c>
      <c r="H867" s="1" t="s">
        <v>29</v>
      </c>
      <c r="I867" s="1" t="s">
        <v>43</v>
      </c>
      <c r="J867" s="1" t="s">
        <v>23</v>
      </c>
      <c r="K867" s="1" t="s">
        <v>31</v>
      </c>
      <c r="L867" s="1">
        <v>3620</v>
      </c>
      <c r="M867" s="3">
        <f t="shared" si="39"/>
        <v>6.5745856353591162E-2</v>
      </c>
      <c r="N867" s="1">
        <v>238</v>
      </c>
      <c r="O867" s="4">
        <f t="shared" si="40"/>
        <v>9.9166666666666661</v>
      </c>
      <c r="P867" s="1">
        <v>24</v>
      </c>
      <c r="Q867" s="1">
        <v>141.55956701833301</v>
      </c>
      <c r="R867" s="1">
        <v>904.51476160000004</v>
      </c>
      <c r="S867" s="5">
        <f t="shared" si="41"/>
        <v>903.51476160000004</v>
      </c>
      <c r="T867" s="1">
        <v>80</v>
      </c>
      <c r="U867" s="1">
        <v>14</v>
      </c>
      <c r="V867" s="1">
        <v>6</v>
      </c>
      <c r="W867" s="1">
        <v>260</v>
      </c>
      <c r="X867" s="1">
        <v>0.73063939574108605</v>
      </c>
    </row>
    <row r="868" spans="1:24" x14ac:dyDescent="0.3">
      <c r="A868" s="2">
        <v>45309</v>
      </c>
      <c r="B868" s="1" t="s">
        <v>17</v>
      </c>
      <c r="C868" s="1" t="s">
        <v>35</v>
      </c>
      <c r="D868" s="1" t="s">
        <v>19</v>
      </c>
      <c r="E868" s="1" t="s">
        <v>28</v>
      </c>
      <c r="F868" s="1">
        <v>32</v>
      </c>
      <c r="G868" s="1" t="str" cm="1">
        <f t="array" ref="G868">_xlfn.IFS(F868&lt;=25,"YOUTH",F868&lt;=48,"ADULT",TRUE,"SENIOR")</f>
        <v>ADULT</v>
      </c>
      <c r="H868" s="1" t="s">
        <v>21</v>
      </c>
      <c r="I868" s="1" t="s">
        <v>33</v>
      </c>
      <c r="J868" s="1" t="s">
        <v>23</v>
      </c>
      <c r="K868" s="1" t="s">
        <v>24</v>
      </c>
      <c r="L868" s="1">
        <v>36414</v>
      </c>
      <c r="M868" s="3">
        <f t="shared" si="39"/>
        <v>4.9816004833305873E-2</v>
      </c>
      <c r="N868" s="1">
        <v>1814</v>
      </c>
      <c r="O868" s="4">
        <f t="shared" si="40"/>
        <v>5.3827893175074184</v>
      </c>
      <c r="P868" s="1">
        <v>337</v>
      </c>
      <c r="Q868" s="1">
        <v>5069.56311935338</v>
      </c>
      <c r="R868" s="1">
        <v>11829.600533684599</v>
      </c>
      <c r="S868" s="5">
        <f t="shared" si="41"/>
        <v>11828.600533684599</v>
      </c>
      <c r="T868" s="1">
        <v>938</v>
      </c>
      <c r="U868" s="1">
        <v>179</v>
      </c>
      <c r="V868" s="1">
        <v>77</v>
      </c>
      <c r="W868" s="1">
        <v>5660</v>
      </c>
      <c r="X868" s="1">
        <v>0.56619720227696102</v>
      </c>
    </row>
    <row r="869" spans="1:24" x14ac:dyDescent="0.3">
      <c r="A869" s="2">
        <v>45318</v>
      </c>
      <c r="B869" s="1" t="s">
        <v>17</v>
      </c>
      <c r="C869" s="1" t="s">
        <v>35</v>
      </c>
      <c r="D869" s="1" t="s">
        <v>19</v>
      </c>
      <c r="E869" s="1" t="s">
        <v>28</v>
      </c>
      <c r="F869" s="1">
        <v>23</v>
      </c>
      <c r="G869" s="1" t="str" cm="1">
        <f t="array" ref="G869">_xlfn.IFS(F869&lt;=25,"YOUTH",F869&lt;=48,"ADULT",TRUE,"SENIOR")</f>
        <v>YOUTH</v>
      </c>
      <c r="H869" s="1" t="s">
        <v>29</v>
      </c>
      <c r="I869" s="1" t="s">
        <v>43</v>
      </c>
      <c r="J869" s="1" t="s">
        <v>38</v>
      </c>
      <c r="K869" s="1" t="s">
        <v>24</v>
      </c>
      <c r="L869" s="1">
        <v>38633</v>
      </c>
      <c r="M869" s="3">
        <f t="shared" si="39"/>
        <v>3.3779411384049905E-2</v>
      </c>
      <c r="N869" s="1">
        <v>1305</v>
      </c>
      <c r="O869" s="4">
        <f t="shared" si="40"/>
        <v>16.73076923076923</v>
      </c>
      <c r="P869" s="1">
        <v>78</v>
      </c>
      <c r="Q869" s="1">
        <v>5786.2987482558101</v>
      </c>
      <c r="R869" s="1">
        <v>1189.08953974874</v>
      </c>
      <c r="S869" s="5">
        <f t="shared" si="41"/>
        <v>1188.08953974874</v>
      </c>
      <c r="T869" s="1">
        <v>588</v>
      </c>
      <c r="U869" s="1">
        <v>98</v>
      </c>
      <c r="V869" s="1">
        <v>33</v>
      </c>
      <c r="W869" s="1">
        <v>506</v>
      </c>
      <c r="X869" s="1">
        <v>0.88913028011069195</v>
      </c>
    </row>
    <row r="870" spans="1:24" x14ac:dyDescent="0.3">
      <c r="A870" s="2">
        <v>45334</v>
      </c>
      <c r="B870" s="1" t="s">
        <v>40</v>
      </c>
      <c r="C870" s="1" t="s">
        <v>26</v>
      </c>
      <c r="D870" s="1" t="s">
        <v>19</v>
      </c>
      <c r="E870" s="1" t="s">
        <v>20</v>
      </c>
      <c r="F870" s="1">
        <v>47</v>
      </c>
      <c r="G870" s="1" t="str" cm="1">
        <f t="array" ref="G870">_xlfn.IFS(F870&lt;=25,"YOUTH",F870&lt;=48,"ADULT",TRUE,"SENIOR")</f>
        <v>ADULT</v>
      </c>
      <c r="H870" s="1" t="s">
        <v>29</v>
      </c>
      <c r="I870" s="1" t="s">
        <v>43</v>
      </c>
      <c r="J870" s="1" t="s">
        <v>23</v>
      </c>
      <c r="K870" s="1" t="s">
        <v>31</v>
      </c>
      <c r="L870" s="1">
        <v>36057</v>
      </c>
      <c r="M870" s="3">
        <f t="shared" si="39"/>
        <v>5.6937626535762821E-2</v>
      </c>
      <c r="N870" s="1">
        <v>2053</v>
      </c>
      <c r="O870" s="4">
        <f t="shared" si="40"/>
        <v>6.4357366771159876</v>
      </c>
      <c r="P870" s="1">
        <v>319</v>
      </c>
      <c r="Q870" s="1">
        <v>4379.7599525369496</v>
      </c>
      <c r="R870" s="1">
        <v>13835.119537525899</v>
      </c>
      <c r="S870" s="5">
        <f t="shared" si="41"/>
        <v>13834.119537525899</v>
      </c>
      <c r="T870" s="1">
        <v>804</v>
      </c>
      <c r="U870" s="1">
        <v>151</v>
      </c>
      <c r="V870" s="1">
        <v>18</v>
      </c>
      <c r="W870" s="1">
        <v>3319</v>
      </c>
      <c r="X870" s="1">
        <v>0.82084328531218198</v>
      </c>
    </row>
    <row r="871" spans="1:24" x14ac:dyDescent="0.3">
      <c r="A871" s="2">
        <v>45350</v>
      </c>
      <c r="B871" s="1" t="s">
        <v>17</v>
      </c>
      <c r="C871" s="1" t="s">
        <v>35</v>
      </c>
      <c r="D871" s="1" t="s">
        <v>36</v>
      </c>
      <c r="E871" s="1" t="s">
        <v>28</v>
      </c>
      <c r="F871" s="1">
        <v>55</v>
      </c>
      <c r="G871" s="1" t="str" cm="1">
        <f t="array" ref="G871">_xlfn.IFS(F871&lt;=25,"YOUTH",F871&lt;=48,"ADULT",TRUE,"SENIOR")</f>
        <v>SENIOR</v>
      </c>
      <c r="H871" s="1" t="s">
        <v>21</v>
      </c>
      <c r="I871" s="1" t="s">
        <v>33</v>
      </c>
      <c r="J871" s="1" t="s">
        <v>38</v>
      </c>
      <c r="K871" s="1" t="s">
        <v>31</v>
      </c>
      <c r="L871" s="1">
        <v>41138</v>
      </c>
      <c r="M871" s="3">
        <f t="shared" si="39"/>
        <v>9.5094559774417817E-2</v>
      </c>
      <c r="N871" s="1">
        <v>3912</v>
      </c>
      <c r="O871" s="4">
        <f t="shared" si="40"/>
        <v>5.5647226173541959</v>
      </c>
      <c r="P871" s="1">
        <v>703</v>
      </c>
      <c r="Q871" s="1">
        <v>2356.6167085311199</v>
      </c>
      <c r="R871" s="1">
        <v>37466.472666814698</v>
      </c>
      <c r="S871" s="5">
        <f t="shared" si="41"/>
        <v>37465.472666814698</v>
      </c>
      <c r="T871" s="1">
        <v>411</v>
      </c>
      <c r="U871" s="1">
        <v>39</v>
      </c>
      <c r="V871" s="1">
        <v>24</v>
      </c>
      <c r="W871" s="1">
        <v>3188</v>
      </c>
      <c r="X871" s="1">
        <v>0.60333649700000003</v>
      </c>
    </row>
    <row r="872" spans="1:24" x14ac:dyDescent="0.3">
      <c r="A872" s="2">
        <v>45323</v>
      </c>
      <c r="B872" s="1" t="s">
        <v>34</v>
      </c>
      <c r="C872" s="1" t="s">
        <v>18</v>
      </c>
      <c r="D872" s="1" t="s">
        <v>19</v>
      </c>
      <c r="E872" s="1" t="s">
        <v>28</v>
      </c>
      <c r="F872" s="1">
        <v>19</v>
      </c>
      <c r="G872" s="1" t="str" cm="1">
        <f t="array" ref="G872">_xlfn.IFS(F872&lt;=25,"YOUTH",F872&lt;=48,"ADULT",TRUE,"SENIOR")</f>
        <v>YOUTH</v>
      </c>
      <c r="H872" s="1" t="s">
        <v>21</v>
      </c>
      <c r="I872" s="1" t="s">
        <v>43</v>
      </c>
      <c r="J872" s="1" t="s">
        <v>38</v>
      </c>
      <c r="K872" s="1" t="s">
        <v>31</v>
      </c>
      <c r="L872" s="1">
        <v>14854</v>
      </c>
      <c r="M872" s="3">
        <f t="shared" si="39"/>
        <v>9.0548000538575465E-2</v>
      </c>
      <c r="N872" s="1">
        <v>1345</v>
      </c>
      <c r="O872" s="4">
        <f t="shared" si="40"/>
        <v>10.112781954887218</v>
      </c>
      <c r="P872" s="1">
        <v>133</v>
      </c>
      <c r="Q872" s="1">
        <v>1074.2096112373399</v>
      </c>
      <c r="R872" s="1">
        <v>8591.3828960464107</v>
      </c>
      <c r="S872" s="5">
        <f t="shared" si="41"/>
        <v>8590.3828960464107</v>
      </c>
      <c r="T872" s="1">
        <v>435</v>
      </c>
      <c r="U872" s="1">
        <v>37</v>
      </c>
      <c r="V872" s="1">
        <v>39</v>
      </c>
      <c r="W872" s="1">
        <v>1103</v>
      </c>
      <c r="X872" s="1">
        <v>0.49190674014973701</v>
      </c>
    </row>
    <row r="873" spans="1:24" x14ac:dyDescent="0.3">
      <c r="A873" s="2">
        <v>45324</v>
      </c>
      <c r="B873" s="1" t="s">
        <v>25</v>
      </c>
      <c r="C873" s="1" t="s">
        <v>26</v>
      </c>
      <c r="D873" s="1" t="s">
        <v>32</v>
      </c>
      <c r="E873" s="1" t="s">
        <v>28</v>
      </c>
      <c r="F873" s="1">
        <v>32</v>
      </c>
      <c r="G873" s="1" t="str" cm="1">
        <f t="array" ref="G873">_xlfn.IFS(F873&lt;=25,"YOUTH",F873&lt;=48,"ADULT",TRUE,"SENIOR")</f>
        <v>ADULT</v>
      </c>
      <c r="H873" s="1" t="s">
        <v>21</v>
      </c>
      <c r="I873" s="1" t="s">
        <v>22</v>
      </c>
      <c r="J873" s="1" t="s">
        <v>38</v>
      </c>
      <c r="K873" s="1" t="s">
        <v>24</v>
      </c>
      <c r="L873" s="1">
        <v>10677</v>
      </c>
      <c r="M873" s="3">
        <f t="shared" si="39"/>
        <v>3.2874402922169151E-2</v>
      </c>
      <c r="N873" s="1">
        <v>351</v>
      </c>
      <c r="O873" s="4">
        <f t="shared" si="40"/>
        <v>5.5714285714285712</v>
      </c>
      <c r="P873" s="1">
        <v>63</v>
      </c>
      <c r="Q873" s="1">
        <v>1239.97819044419</v>
      </c>
      <c r="R873" s="1">
        <v>3799.0366537547502</v>
      </c>
      <c r="S873" s="5">
        <f t="shared" si="41"/>
        <v>3798.0366537547502</v>
      </c>
      <c r="T873" s="1">
        <v>146</v>
      </c>
      <c r="U873" s="1">
        <v>15</v>
      </c>
      <c r="V873" s="1">
        <v>5</v>
      </c>
      <c r="W873" s="1">
        <v>790</v>
      </c>
      <c r="X873" s="1">
        <v>0.406323884818513</v>
      </c>
    </row>
    <row r="874" spans="1:24" x14ac:dyDescent="0.3">
      <c r="A874" s="2">
        <v>45319</v>
      </c>
      <c r="B874" s="1" t="s">
        <v>34</v>
      </c>
      <c r="C874" s="1" t="s">
        <v>26</v>
      </c>
      <c r="D874" s="1" t="s">
        <v>27</v>
      </c>
      <c r="E874" s="1" t="s">
        <v>28</v>
      </c>
      <c r="F874" s="1">
        <v>28</v>
      </c>
      <c r="G874" s="1" t="str" cm="1">
        <f t="array" ref="G874">_xlfn.IFS(F874&lt;=25,"YOUTH",F874&lt;=48,"ADULT",TRUE,"SENIOR")</f>
        <v>ADULT</v>
      </c>
      <c r="H874" s="1" t="s">
        <v>21</v>
      </c>
      <c r="I874" s="1" t="s">
        <v>37</v>
      </c>
      <c r="J874" s="1" t="s">
        <v>23</v>
      </c>
      <c r="K874" s="1" t="s">
        <v>39</v>
      </c>
      <c r="L874" s="1">
        <v>45111</v>
      </c>
      <c r="M874" s="3">
        <f t="shared" si="39"/>
        <v>2.7487752432887765E-2</v>
      </c>
      <c r="N874" s="1">
        <v>1240</v>
      </c>
      <c r="O874" s="4">
        <f t="shared" si="40"/>
        <v>4.4927536231884062</v>
      </c>
      <c r="P874" s="1">
        <v>276</v>
      </c>
      <c r="Q874" s="1">
        <v>6581.9999583925301</v>
      </c>
      <c r="R874" s="1">
        <v>10529.7476723208</v>
      </c>
      <c r="S874" s="5">
        <f t="shared" si="41"/>
        <v>10528.7476723208</v>
      </c>
      <c r="T874" s="1">
        <v>1179</v>
      </c>
      <c r="U874" s="1">
        <v>68</v>
      </c>
      <c r="V874" s="1">
        <v>116</v>
      </c>
      <c r="W874" s="1">
        <v>719</v>
      </c>
      <c r="X874" s="1">
        <v>0.74162394786957098</v>
      </c>
    </row>
    <row r="875" spans="1:24" x14ac:dyDescent="0.3">
      <c r="A875" s="2">
        <v>45333</v>
      </c>
      <c r="B875" s="1" t="s">
        <v>40</v>
      </c>
      <c r="C875" s="1" t="s">
        <v>18</v>
      </c>
      <c r="D875" s="1" t="s">
        <v>36</v>
      </c>
      <c r="E875" s="1" t="s">
        <v>20</v>
      </c>
      <c r="F875" s="1">
        <v>25</v>
      </c>
      <c r="G875" s="1" t="str" cm="1">
        <f t="array" ref="G875">_xlfn.IFS(F875&lt;=25,"YOUTH",F875&lt;=48,"ADULT",TRUE,"SENIOR")</f>
        <v>YOUTH</v>
      </c>
      <c r="H875" s="1" t="s">
        <v>29</v>
      </c>
      <c r="I875" s="1" t="s">
        <v>37</v>
      </c>
      <c r="J875" s="1" t="s">
        <v>38</v>
      </c>
      <c r="K875" s="1" t="s">
        <v>31</v>
      </c>
      <c r="L875" s="1">
        <v>25074</v>
      </c>
      <c r="M875" s="3">
        <f t="shared" si="39"/>
        <v>1.3719390603812715E-2</v>
      </c>
      <c r="N875" s="1">
        <v>344</v>
      </c>
      <c r="O875" s="4">
        <f t="shared" si="40"/>
        <v>7.8181818181818183</v>
      </c>
      <c r="P875" s="1">
        <v>44</v>
      </c>
      <c r="Q875" s="1">
        <v>1986.1429375328601</v>
      </c>
      <c r="R875" s="1">
        <v>2276.3890619041299</v>
      </c>
      <c r="S875" s="5">
        <f t="shared" si="41"/>
        <v>2275.3890619041299</v>
      </c>
      <c r="T875" s="1">
        <v>717</v>
      </c>
      <c r="U875" s="1">
        <v>122</v>
      </c>
      <c r="V875" s="1">
        <v>60</v>
      </c>
      <c r="W875" s="1">
        <v>975</v>
      </c>
      <c r="X875" s="1">
        <v>0.62336809419718398</v>
      </c>
    </row>
    <row r="876" spans="1:24" x14ac:dyDescent="0.3">
      <c r="A876" s="2">
        <v>45332</v>
      </c>
      <c r="B876" s="1" t="s">
        <v>34</v>
      </c>
      <c r="C876" s="1" t="s">
        <v>41</v>
      </c>
      <c r="D876" s="1" t="s">
        <v>19</v>
      </c>
      <c r="E876" s="1" t="s">
        <v>28</v>
      </c>
      <c r="F876" s="1">
        <v>43</v>
      </c>
      <c r="G876" s="1" t="str" cm="1">
        <f t="array" ref="G876">_xlfn.IFS(F876&lt;=25,"YOUTH",F876&lt;=48,"ADULT",TRUE,"SENIOR")</f>
        <v>ADULT</v>
      </c>
      <c r="H876" s="1" t="s">
        <v>29</v>
      </c>
      <c r="I876" s="1" t="s">
        <v>22</v>
      </c>
      <c r="J876" s="1" t="s">
        <v>23</v>
      </c>
      <c r="K876" s="1" t="s">
        <v>31</v>
      </c>
      <c r="L876" s="1">
        <v>18824</v>
      </c>
      <c r="M876" s="3">
        <f t="shared" si="39"/>
        <v>1.1687207819804505E-2</v>
      </c>
      <c r="N876" s="1">
        <v>220</v>
      </c>
      <c r="O876" s="4">
        <f t="shared" si="40"/>
        <v>9.5652173913043477</v>
      </c>
      <c r="P876" s="1">
        <v>23</v>
      </c>
      <c r="Q876" s="1">
        <v>2406.4208929004799</v>
      </c>
      <c r="R876" s="1">
        <v>1312.1712029939599</v>
      </c>
      <c r="S876" s="5">
        <f t="shared" si="41"/>
        <v>1311.1712029939599</v>
      </c>
      <c r="T876" s="1">
        <v>501</v>
      </c>
      <c r="U876" s="1">
        <v>99</v>
      </c>
      <c r="V876" s="1">
        <v>38</v>
      </c>
      <c r="W876" s="1">
        <v>695</v>
      </c>
      <c r="X876" s="1">
        <v>0.57311607099999995</v>
      </c>
    </row>
    <row r="877" spans="1:24" x14ac:dyDescent="0.3">
      <c r="A877" s="2">
        <v>45346</v>
      </c>
      <c r="B877" s="1" t="s">
        <v>25</v>
      </c>
      <c r="C877" s="1" t="s">
        <v>41</v>
      </c>
      <c r="D877" s="1" t="s">
        <v>32</v>
      </c>
      <c r="E877" s="1" t="s">
        <v>20</v>
      </c>
      <c r="F877" s="1">
        <v>22</v>
      </c>
      <c r="G877" s="1" t="str" cm="1">
        <f t="array" ref="G877">_xlfn.IFS(F877&lt;=25,"YOUTH",F877&lt;=48,"ADULT",TRUE,"SENIOR")</f>
        <v>YOUTH</v>
      </c>
      <c r="H877" s="1" t="s">
        <v>29</v>
      </c>
      <c r="I877" s="1" t="s">
        <v>43</v>
      </c>
      <c r="J877" s="1" t="s">
        <v>38</v>
      </c>
      <c r="K877" s="1" t="s">
        <v>24</v>
      </c>
      <c r="L877" s="1">
        <v>1765</v>
      </c>
      <c r="M877" s="3">
        <f t="shared" si="39"/>
        <v>0.13314447592067988</v>
      </c>
      <c r="N877" s="1">
        <v>235</v>
      </c>
      <c r="O877" s="4">
        <f t="shared" si="40"/>
        <v>13.055555555555555</v>
      </c>
      <c r="P877" s="1">
        <v>18</v>
      </c>
      <c r="Q877" s="1">
        <v>259.029564290275</v>
      </c>
      <c r="R877" s="1">
        <v>667.38179507386803</v>
      </c>
      <c r="S877" s="5">
        <f t="shared" si="41"/>
        <v>666.38179507386803</v>
      </c>
      <c r="T877" s="1">
        <v>11</v>
      </c>
      <c r="U877" s="1">
        <v>1</v>
      </c>
      <c r="V877" s="1">
        <v>0</v>
      </c>
      <c r="W877" s="1">
        <v>349</v>
      </c>
      <c r="X877" s="1">
        <v>0.94202626040025905</v>
      </c>
    </row>
    <row r="878" spans="1:24" x14ac:dyDescent="0.3">
      <c r="A878" s="2">
        <v>45327</v>
      </c>
      <c r="B878" s="1" t="s">
        <v>17</v>
      </c>
      <c r="C878" s="1" t="s">
        <v>18</v>
      </c>
      <c r="D878" s="1" t="s">
        <v>27</v>
      </c>
      <c r="E878" s="1" t="s">
        <v>28</v>
      </c>
      <c r="F878" s="1">
        <v>23</v>
      </c>
      <c r="G878" s="1" t="str" cm="1">
        <f t="array" ref="G878">_xlfn.IFS(F878&lt;=25,"YOUTH",F878&lt;=48,"ADULT",TRUE,"SENIOR")</f>
        <v>YOUTH</v>
      </c>
      <c r="H878" s="1" t="s">
        <v>29</v>
      </c>
      <c r="I878" s="1" t="s">
        <v>33</v>
      </c>
      <c r="J878" s="1" t="s">
        <v>23</v>
      </c>
      <c r="K878" s="1" t="s">
        <v>31</v>
      </c>
      <c r="L878" s="1">
        <v>46439</v>
      </c>
      <c r="M878" s="3">
        <f t="shared" si="39"/>
        <v>1.6300953939576649E-2</v>
      </c>
      <c r="N878" s="1">
        <v>757</v>
      </c>
      <c r="O878" s="4">
        <f t="shared" si="40"/>
        <v>6.3083333333333336</v>
      </c>
      <c r="P878" s="1">
        <v>120</v>
      </c>
      <c r="Q878" s="1">
        <v>6201.9986767870696</v>
      </c>
      <c r="R878" s="1">
        <v>1500.3349734932799</v>
      </c>
      <c r="S878" s="5">
        <f t="shared" si="41"/>
        <v>1499.3349734932799</v>
      </c>
      <c r="T878" s="1">
        <v>987</v>
      </c>
      <c r="U878" s="1">
        <v>131</v>
      </c>
      <c r="V878" s="1">
        <v>66</v>
      </c>
      <c r="W878" s="1">
        <v>659</v>
      </c>
      <c r="X878" s="1">
        <v>0.65637817455817304</v>
      </c>
    </row>
    <row r="879" spans="1:24" x14ac:dyDescent="0.3">
      <c r="A879" s="2">
        <v>45351</v>
      </c>
      <c r="B879" s="1" t="s">
        <v>25</v>
      </c>
      <c r="C879" s="1" t="s">
        <v>18</v>
      </c>
      <c r="D879" s="1" t="s">
        <v>32</v>
      </c>
      <c r="E879" s="1" t="s">
        <v>28</v>
      </c>
      <c r="F879" s="1">
        <v>43</v>
      </c>
      <c r="G879" s="1" t="str" cm="1">
        <f t="array" ref="G879">_xlfn.IFS(F879&lt;=25,"YOUTH",F879&lt;=48,"ADULT",TRUE,"SENIOR")</f>
        <v>ADULT</v>
      </c>
      <c r="H879" s="1" t="s">
        <v>29</v>
      </c>
      <c r="I879" s="1" t="s">
        <v>43</v>
      </c>
      <c r="J879" s="1" t="s">
        <v>38</v>
      </c>
      <c r="K879" s="1" t="s">
        <v>31</v>
      </c>
      <c r="L879" s="1">
        <v>32615</v>
      </c>
      <c r="M879" s="3">
        <f t="shared" si="39"/>
        <v>0.11234094741683275</v>
      </c>
      <c r="N879" s="1">
        <v>3664</v>
      </c>
      <c r="O879" s="4">
        <f t="shared" si="40"/>
        <v>4.5012285012285016</v>
      </c>
      <c r="P879" s="1">
        <v>814</v>
      </c>
      <c r="Q879" s="1">
        <v>1615.4035688230799</v>
      </c>
      <c r="R879" s="1">
        <v>27240.916715164301</v>
      </c>
      <c r="S879" s="5">
        <f t="shared" si="41"/>
        <v>27239.916715164301</v>
      </c>
      <c r="T879" s="1">
        <v>260</v>
      </c>
      <c r="U879" s="1">
        <v>24</v>
      </c>
      <c r="V879" s="1">
        <v>20</v>
      </c>
      <c r="W879" s="1">
        <v>1361</v>
      </c>
      <c r="X879" s="1">
        <v>0.81241160600498297</v>
      </c>
    </row>
    <row r="880" spans="1:24" x14ac:dyDescent="0.3">
      <c r="A880" s="2">
        <v>45297</v>
      </c>
      <c r="B880" s="1" t="s">
        <v>17</v>
      </c>
      <c r="C880" s="1" t="s">
        <v>35</v>
      </c>
      <c r="D880" s="1" t="s">
        <v>19</v>
      </c>
      <c r="E880" s="1" t="s">
        <v>20</v>
      </c>
      <c r="F880" s="1">
        <v>21</v>
      </c>
      <c r="G880" s="1" t="str" cm="1">
        <f t="array" ref="G880">_xlfn.IFS(F880&lt;=25,"YOUTH",F880&lt;=48,"ADULT",TRUE,"SENIOR")</f>
        <v>YOUTH</v>
      </c>
      <c r="H880" s="1" t="s">
        <v>29</v>
      </c>
      <c r="I880" s="1" t="s">
        <v>22</v>
      </c>
      <c r="J880" s="1" t="s">
        <v>23</v>
      </c>
      <c r="K880" s="1" t="s">
        <v>39</v>
      </c>
      <c r="L880" s="1">
        <v>49926</v>
      </c>
      <c r="M880" s="3">
        <f t="shared" si="39"/>
        <v>0.13207547169811321</v>
      </c>
      <c r="N880" s="1">
        <v>6594</v>
      </c>
      <c r="O880" s="4">
        <f t="shared" si="40"/>
        <v>10.567307692307692</v>
      </c>
      <c r="P880" s="1">
        <v>624</v>
      </c>
      <c r="Q880" s="1">
        <v>1050.6498486610601</v>
      </c>
      <c r="R880" s="1">
        <v>37290.909229455399</v>
      </c>
      <c r="S880" s="5">
        <f t="shared" si="41"/>
        <v>37289.909229455399</v>
      </c>
      <c r="T880" s="1">
        <v>256</v>
      </c>
      <c r="U880" s="1">
        <v>20</v>
      </c>
      <c r="V880" s="1">
        <v>13</v>
      </c>
      <c r="W880" s="1">
        <v>9740</v>
      </c>
      <c r="X880" s="1">
        <v>0.497576829488179</v>
      </c>
    </row>
    <row r="881" spans="1:24" x14ac:dyDescent="0.3">
      <c r="A881" s="2">
        <v>45307</v>
      </c>
      <c r="B881" s="1" t="s">
        <v>17</v>
      </c>
      <c r="C881" s="1" t="s">
        <v>26</v>
      </c>
      <c r="D881" s="1" t="s">
        <v>32</v>
      </c>
      <c r="E881" s="1" t="s">
        <v>28</v>
      </c>
      <c r="F881" s="1">
        <v>36</v>
      </c>
      <c r="G881" s="1" t="str" cm="1">
        <f t="array" ref="G881">_xlfn.IFS(F881&lt;=25,"YOUTH",F881&lt;=48,"ADULT",TRUE,"SENIOR")</f>
        <v>ADULT</v>
      </c>
      <c r="H881" s="1" t="s">
        <v>29</v>
      </c>
      <c r="I881" s="1" t="s">
        <v>43</v>
      </c>
      <c r="J881" s="1" t="s">
        <v>23</v>
      </c>
      <c r="K881" s="1" t="s">
        <v>31</v>
      </c>
      <c r="L881" s="1">
        <v>37860</v>
      </c>
      <c r="M881" s="3">
        <f t="shared" si="39"/>
        <v>2.3718964606444796E-2</v>
      </c>
      <c r="N881" s="1">
        <v>898</v>
      </c>
      <c r="O881" s="4">
        <f t="shared" si="40"/>
        <v>9.0707070707070709</v>
      </c>
      <c r="P881" s="1">
        <v>99</v>
      </c>
      <c r="Q881" s="1">
        <v>3179.1277375806999</v>
      </c>
      <c r="R881" s="1">
        <v>4334.3874437086797</v>
      </c>
      <c r="S881" s="5">
        <f t="shared" si="41"/>
        <v>4333.3874437086797</v>
      </c>
      <c r="T881" s="1">
        <v>238</v>
      </c>
      <c r="U881" s="1">
        <v>24</v>
      </c>
      <c r="V881" s="1">
        <v>20</v>
      </c>
      <c r="W881" s="1">
        <v>4897</v>
      </c>
      <c r="X881" s="1">
        <v>0.40740039175799703</v>
      </c>
    </row>
    <row r="882" spans="1:24" x14ac:dyDescent="0.3">
      <c r="A882" s="2">
        <v>45325</v>
      </c>
      <c r="B882" s="1" t="s">
        <v>34</v>
      </c>
      <c r="C882" s="1" t="s">
        <v>35</v>
      </c>
      <c r="D882" s="1" t="s">
        <v>27</v>
      </c>
      <c r="E882" s="1" t="s">
        <v>28</v>
      </c>
      <c r="F882" s="1">
        <v>37</v>
      </c>
      <c r="G882" s="1" t="str" cm="1">
        <f t="array" ref="G882">_xlfn.IFS(F882&lt;=25,"YOUTH",F882&lt;=48,"ADULT",TRUE,"SENIOR")</f>
        <v>ADULT</v>
      </c>
      <c r="H882" s="1" t="s">
        <v>29</v>
      </c>
      <c r="I882" s="1" t="s">
        <v>37</v>
      </c>
      <c r="J882" s="1" t="s">
        <v>23</v>
      </c>
      <c r="K882" s="1" t="s">
        <v>31</v>
      </c>
      <c r="L882" s="1">
        <v>13975</v>
      </c>
      <c r="M882" s="3">
        <f t="shared" si="39"/>
        <v>7.105545617173524E-2</v>
      </c>
      <c r="N882" s="1">
        <v>993</v>
      </c>
      <c r="O882" s="4">
        <f t="shared" si="40"/>
        <v>8.8660714285714288</v>
      </c>
      <c r="P882" s="1">
        <v>112</v>
      </c>
      <c r="Q882" s="1">
        <v>1244.84979098237</v>
      </c>
      <c r="R882" s="1">
        <v>5834.0569846279795</v>
      </c>
      <c r="S882" s="5">
        <f t="shared" si="41"/>
        <v>5833.0569846279795</v>
      </c>
      <c r="T882" s="1">
        <v>389</v>
      </c>
      <c r="U882" s="1">
        <v>58</v>
      </c>
      <c r="V882" s="1">
        <v>29</v>
      </c>
      <c r="W882" s="1">
        <v>1336</v>
      </c>
      <c r="X882" s="1">
        <v>0.629659440696408</v>
      </c>
    </row>
    <row r="883" spans="1:24" x14ac:dyDescent="0.3">
      <c r="A883" s="2">
        <v>45314</v>
      </c>
      <c r="B883" s="1" t="s">
        <v>34</v>
      </c>
      <c r="C883" s="1" t="s">
        <v>18</v>
      </c>
      <c r="D883" s="1" t="s">
        <v>19</v>
      </c>
      <c r="E883" s="1" t="s">
        <v>28</v>
      </c>
      <c r="F883" s="1">
        <v>50</v>
      </c>
      <c r="G883" s="1" t="str" cm="1">
        <f t="array" ref="G883">_xlfn.IFS(F883&lt;=25,"YOUTH",F883&lt;=48,"ADULT",TRUE,"SENIOR")</f>
        <v>SENIOR</v>
      </c>
      <c r="H883" s="1" t="s">
        <v>21</v>
      </c>
      <c r="I883" s="1" t="s">
        <v>43</v>
      </c>
      <c r="J883" s="1" t="s">
        <v>38</v>
      </c>
      <c r="K883" s="1" t="s">
        <v>24</v>
      </c>
      <c r="L883" s="1">
        <v>10341</v>
      </c>
      <c r="M883" s="3">
        <f t="shared" si="39"/>
        <v>0.14466686007155982</v>
      </c>
      <c r="N883" s="1">
        <v>1496</v>
      </c>
      <c r="O883" s="4">
        <f t="shared" si="40"/>
        <v>6.7387387387387383</v>
      </c>
      <c r="P883" s="1">
        <v>222</v>
      </c>
      <c r="Q883" s="1">
        <v>477.36690257707301</v>
      </c>
      <c r="R883" s="1">
        <v>3783.4175596618302</v>
      </c>
      <c r="S883" s="5">
        <f t="shared" si="41"/>
        <v>3782.4175596618302</v>
      </c>
      <c r="T883" s="1">
        <v>286</v>
      </c>
      <c r="U883" s="1">
        <v>33</v>
      </c>
      <c r="V883" s="1">
        <v>23</v>
      </c>
      <c r="W883" s="1">
        <v>258</v>
      </c>
      <c r="X883" s="1">
        <v>0.76611565921846303</v>
      </c>
    </row>
    <row r="884" spans="1:24" x14ac:dyDescent="0.3">
      <c r="A884" s="2">
        <v>45341</v>
      </c>
      <c r="B884" s="1" t="s">
        <v>34</v>
      </c>
      <c r="C884" s="1" t="s">
        <v>35</v>
      </c>
      <c r="D884" s="1" t="s">
        <v>27</v>
      </c>
      <c r="E884" s="1" t="s">
        <v>28</v>
      </c>
      <c r="F884" s="1">
        <v>37</v>
      </c>
      <c r="G884" s="1" t="str" cm="1">
        <f t="array" ref="G884">_xlfn.IFS(F884&lt;=25,"YOUTH",F884&lt;=48,"ADULT",TRUE,"SENIOR")</f>
        <v>ADULT</v>
      </c>
      <c r="H884" s="1" t="s">
        <v>21</v>
      </c>
      <c r="I884" s="1" t="s">
        <v>22</v>
      </c>
      <c r="J884" s="1" t="s">
        <v>23</v>
      </c>
      <c r="K884" s="1" t="s">
        <v>24</v>
      </c>
      <c r="L884" s="1">
        <v>29141</v>
      </c>
      <c r="M884" s="3">
        <f t="shared" si="39"/>
        <v>0.12676297999382313</v>
      </c>
      <c r="N884" s="1">
        <v>3694</v>
      </c>
      <c r="O884" s="4">
        <f t="shared" si="40"/>
        <v>13.835205992509364</v>
      </c>
      <c r="P884" s="1">
        <v>267</v>
      </c>
      <c r="Q884" s="1">
        <v>1661.26053924388</v>
      </c>
      <c r="R884" s="1">
        <v>18071.081969999999</v>
      </c>
      <c r="S884" s="5">
        <f t="shared" si="41"/>
        <v>18070.081969999999</v>
      </c>
      <c r="T884" s="1">
        <v>310</v>
      </c>
      <c r="U884" s="1">
        <v>58</v>
      </c>
      <c r="V884" s="1">
        <v>25</v>
      </c>
      <c r="W884" s="1">
        <v>3999</v>
      </c>
      <c r="X884" s="1">
        <v>0.67862928290090196</v>
      </c>
    </row>
    <row r="885" spans="1:24" x14ac:dyDescent="0.3">
      <c r="A885" s="2">
        <v>45333</v>
      </c>
      <c r="B885" s="1" t="s">
        <v>40</v>
      </c>
      <c r="C885" s="1" t="s">
        <v>18</v>
      </c>
      <c r="D885" s="1" t="s">
        <v>32</v>
      </c>
      <c r="E885" s="1" t="s">
        <v>28</v>
      </c>
      <c r="F885" s="1">
        <v>29</v>
      </c>
      <c r="G885" s="1" t="str" cm="1">
        <f t="array" ref="G885">_xlfn.IFS(F885&lt;=25,"YOUTH",F885&lt;=48,"ADULT",TRUE,"SENIOR")</f>
        <v>ADULT</v>
      </c>
      <c r="H885" s="1" t="s">
        <v>29</v>
      </c>
      <c r="I885" s="1" t="s">
        <v>37</v>
      </c>
      <c r="J885" s="1" t="s">
        <v>23</v>
      </c>
      <c r="K885" s="1" t="s">
        <v>24</v>
      </c>
      <c r="L885" s="1">
        <v>13334</v>
      </c>
      <c r="M885" s="3">
        <f t="shared" si="39"/>
        <v>7.8521073946302686E-2</v>
      </c>
      <c r="N885" s="1">
        <v>1047</v>
      </c>
      <c r="O885" s="4">
        <f t="shared" si="40"/>
        <v>4.8027522935779814</v>
      </c>
      <c r="P885" s="1">
        <v>218</v>
      </c>
      <c r="Q885" s="1">
        <v>1593.0117920780799</v>
      </c>
      <c r="R885" s="1">
        <v>6815.8211029201902</v>
      </c>
      <c r="S885" s="5">
        <f t="shared" si="41"/>
        <v>6814.8211029201902</v>
      </c>
      <c r="T885" s="1">
        <v>249</v>
      </c>
      <c r="U885" s="1">
        <v>44</v>
      </c>
      <c r="V885" s="1">
        <v>6</v>
      </c>
      <c r="W885" s="1">
        <v>482</v>
      </c>
      <c r="X885" s="1">
        <v>0.88975644200000004</v>
      </c>
    </row>
    <row r="886" spans="1:24" x14ac:dyDescent="0.3">
      <c r="A886" s="2">
        <v>45315</v>
      </c>
      <c r="B886" s="1" t="s">
        <v>34</v>
      </c>
      <c r="C886" s="1" t="s">
        <v>35</v>
      </c>
      <c r="D886" s="1" t="s">
        <v>36</v>
      </c>
      <c r="E886" s="1" t="s">
        <v>28</v>
      </c>
      <c r="F886" s="1">
        <v>18</v>
      </c>
      <c r="G886" s="1" t="str" cm="1">
        <f t="array" ref="G886">_xlfn.IFS(F886&lt;=25,"YOUTH",F886&lt;=48,"ADULT",TRUE,"SENIOR")</f>
        <v>YOUTH</v>
      </c>
      <c r="H886" s="1" t="s">
        <v>42</v>
      </c>
      <c r="I886" s="1" t="s">
        <v>43</v>
      </c>
      <c r="J886" s="1" t="s">
        <v>38</v>
      </c>
      <c r="K886" s="1" t="s">
        <v>24</v>
      </c>
      <c r="L886" s="1">
        <v>49845</v>
      </c>
      <c r="M886" s="3">
        <f t="shared" si="39"/>
        <v>0.11674189988965794</v>
      </c>
      <c r="N886" s="1">
        <v>5819</v>
      </c>
      <c r="O886" s="4">
        <f t="shared" si="40"/>
        <v>11.365234375</v>
      </c>
      <c r="P886" s="1">
        <v>512</v>
      </c>
      <c r="Q886" s="1">
        <v>4044.6796840000002</v>
      </c>
      <c r="R886" s="1">
        <v>24312.990196046001</v>
      </c>
      <c r="S886" s="5">
        <f t="shared" si="41"/>
        <v>24311.990196046001</v>
      </c>
      <c r="T886" s="1">
        <v>1439</v>
      </c>
      <c r="U886" s="1">
        <v>94</v>
      </c>
      <c r="V886" s="1">
        <v>35</v>
      </c>
      <c r="W886" s="1">
        <v>6854</v>
      </c>
      <c r="X886" s="1">
        <v>0.63868864315294005</v>
      </c>
    </row>
    <row r="887" spans="1:24" x14ac:dyDescent="0.3">
      <c r="A887" s="2">
        <v>45347</v>
      </c>
      <c r="B887" s="1" t="s">
        <v>40</v>
      </c>
      <c r="C887" s="1" t="s">
        <v>35</v>
      </c>
      <c r="D887" s="1" t="s">
        <v>36</v>
      </c>
      <c r="E887" s="1" t="s">
        <v>20</v>
      </c>
      <c r="F887" s="1">
        <v>43</v>
      </c>
      <c r="G887" s="1" t="str" cm="1">
        <f t="array" ref="G887">_xlfn.IFS(F887&lt;=25,"YOUTH",F887&lt;=48,"ADULT",TRUE,"SENIOR")</f>
        <v>ADULT</v>
      </c>
      <c r="H887" s="1" t="s">
        <v>21</v>
      </c>
      <c r="I887" s="1" t="s">
        <v>43</v>
      </c>
      <c r="J887" s="1" t="s">
        <v>23</v>
      </c>
      <c r="K887" s="1" t="s">
        <v>39</v>
      </c>
      <c r="L887" s="1">
        <v>16835</v>
      </c>
      <c r="M887" s="3">
        <f t="shared" si="39"/>
        <v>0.12664092664092663</v>
      </c>
      <c r="N887" s="1">
        <v>2132</v>
      </c>
      <c r="O887" s="4">
        <f t="shared" si="40"/>
        <v>5.4948453608247423</v>
      </c>
      <c r="P887" s="1">
        <v>388</v>
      </c>
      <c r="Q887" s="1">
        <v>1031.2452796633399</v>
      </c>
      <c r="R887" s="1">
        <v>2415.9582607750599</v>
      </c>
      <c r="S887" s="5">
        <f t="shared" si="41"/>
        <v>2414.9582607750599</v>
      </c>
      <c r="T887" s="1">
        <v>293</v>
      </c>
      <c r="U887" s="1">
        <v>20</v>
      </c>
      <c r="V887" s="1">
        <v>24</v>
      </c>
      <c r="W887" s="1">
        <v>3300</v>
      </c>
      <c r="X887" s="1">
        <v>0.57105154723420004</v>
      </c>
    </row>
    <row r="888" spans="1:24" x14ac:dyDescent="0.3">
      <c r="A888" s="2">
        <v>45340</v>
      </c>
      <c r="B888" s="1" t="s">
        <v>34</v>
      </c>
      <c r="C888" s="1" t="s">
        <v>41</v>
      </c>
      <c r="D888" s="1" t="s">
        <v>36</v>
      </c>
      <c r="E888" s="1" t="s">
        <v>20</v>
      </c>
      <c r="F888" s="1">
        <v>31</v>
      </c>
      <c r="G888" s="1" t="str" cm="1">
        <f t="array" ref="G888">_xlfn.IFS(F888&lt;=25,"YOUTH",F888&lt;=48,"ADULT",TRUE,"SENIOR")</f>
        <v>ADULT</v>
      </c>
      <c r="H888" s="1" t="s">
        <v>29</v>
      </c>
      <c r="I888" s="1" t="s">
        <v>37</v>
      </c>
      <c r="J888" s="1" t="s">
        <v>23</v>
      </c>
      <c r="K888" s="1" t="s">
        <v>24</v>
      </c>
      <c r="L888" s="1">
        <v>27548</v>
      </c>
      <c r="M888" s="3">
        <f t="shared" si="39"/>
        <v>5.8697546101350369E-2</v>
      </c>
      <c r="N888" s="1">
        <v>1617</v>
      </c>
      <c r="O888" s="4">
        <f t="shared" si="40"/>
        <v>7.2511210762331837</v>
      </c>
      <c r="P888" s="1">
        <v>223</v>
      </c>
      <c r="Q888" s="1">
        <v>2780.7332342295999</v>
      </c>
      <c r="R888" s="1">
        <v>2960.4927063904402</v>
      </c>
      <c r="S888" s="5">
        <f t="shared" si="41"/>
        <v>2959.4927063904402</v>
      </c>
      <c r="T888" s="1">
        <v>408</v>
      </c>
      <c r="U888" s="1">
        <v>61</v>
      </c>
      <c r="V888" s="1">
        <v>16</v>
      </c>
      <c r="W888" s="1">
        <v>3059</v>
      </c>
      <c r="X888" s="1">
        <v>0.90382677191420302</v>
      </c>
    </row>
    <row r="889" spans="1:24" x14ac:dyDescent="0.3">
      <c r="A889" s="2">
        <v>45304</v>
      </c>
      <c r="B889" s="1" t="s">
        <v>17</v>
      </c>
      <c r="C889" s="1" t="s">
        <v>18</v>
      </c>
      <c r="D889" s="1" t="s">
        <v>36</v>
      </c>
      <c r="E889" s="1" t="s">
        <v>20</v>
      </c>
      <c r="F889" s="1">
        <v>55</v>
      </c>
      <c r="G889" s="1" t="str" cm="1">
        <f t="array" ref="G889">_xlfn.IFS(F889&lt;=25,"YOUTH",F889&lt;=48,"ADULT",TRUE,"SENIOR")</f>
        <v>SENIOR</v>
      </c>
      <c r="H889" s="1" t="s">
        <v>21</v>
      </c>
      <c r="I889" s="1" t="s">
        <v>33</v>
      </c>
      <c r="J889" s="1" t="s">
        <v>23</v>
      </c>
      <c r="K889" s="1" t="s">
        <v>31</v>
      </c>
      <c r="L889" s="1">
        <v>36434</v>
      </c>
      <c r="M889" s="3">
        <f t="shared" si="39"/>
        <v>0.13487401877367294</v>
      </c>
      <c r="N889" s="1">
        <v>4914</v>
      </c>
      <c r="O889" s="4">
        <f t="shared" si="40"/>
        <v>6.4657894736842101</v>
      </c>
      <c r="P889" s="1">
        <v>760</v>
      </c>
      <c r="Q889" s="1">
        <v>3820.4243634004301</v>
      </c>
      <c r="R889" s="1">
        <v>42432.49293</v>
      </c>
      <c r="S889" s="5">
        <f t="shared" si="41"/>
        <v>42431.49293</v>
      </c>
      <c r="T889" s="1">
        <v>622</v>
      </c>
      <c r="U889" s="1">
        <v>52</v>
      </c>
      <c r="V889" s="1">
        <v>41</v>
      </c>
      <c r="W889" s="1">
        <v>1846</v>
      </c>
      <c r="X889" s="1">
        <v>0.62374125324890906</v>
      </c>
    </row>
    <row r="890" spans="1:24" x14ac:dyDescent="0.3">
      <c r="A890" s="2">
        <v>45347</v>
      </c>
      <c r="B890" s="1" t="s">
        <v>40</v>
      </c>
      <c r="C890" s="1" t="s">
        <v>35</v>
      </c>
      <c r="D890" s="1" t="s">
        <v>27</v>
      </c>
      <c r="E890" s="1" t="s">
        <v>28</v>
      </c>
      <c r="F890" s="1">
        <v>54</v>
      </c>
      <c r="G890" s="1" t="str" cm="1">
        <f t="array" ref="G890">_xlfn.IFS(F890&lt;=25,"YOUTH",F890&lt;=48,"ADULT",TRUE,"SENIOR")</f>
        <v>SENIOR</v>
      </c>
      <c r="H890" s="1" t="s">
        <v>21</v>
      </c>
      <c r="I890" s="1" t="s">
        <v>37</v>
      </c>
      <c r="J890" s="1" t="s">
        <v>23</v>
      </c>
      <c r="K890" s="1" t="s">
        <v>39</v>
      </c>
      <c r="L890" s="1">
        <v>26039</v>
      </c>
      <c r="M890" s="3">
        <f t="shared" si="39"/>
        <v>7.5847766811321479E-2</v>
      </c>
      <c r="N890" s="1">
        <v>1975</v>
      </c>
      <c r="O890" s="4">
        <f t="shared" si="40"/>
        <v>16.322314049586776</v>
      </c>
      <c r="P890" s="1">
        <v>121</v>
      </c>
      <c r="Q890" s="1">
        <v>3125.2385623104901</v>
      </c>
      <c r="R890" s="1">
        <v>8218.0796890168003</v>
      </c>
      <c r="S890" s="5">
        <f t="shared" si="41"/>
        <v>8217.0796890168003</v>
      </c>
      <c r="T890" s="1">
        <v>644</v>
      </c>
      <c r="U890" s="1">
        <v>108</v>
      </c>
      <c r="V890" s="1">
        <v>35</v>
      </c>
      <c r="W890" s="1">
        <v>3353</v>
      </c>
      <c r="X890" s="1">
        <v>0.54830632390178602</v>
      </c>
    </row>
    <row r="891" spans="1:24" x14ac:dyDescent="0.3">
      <c r="A891" s="2">
        <v>45309</v>
      </c>
      <c r="B891" s="1" t="s">
        <v>25</v>
      </c>
      <c r="C891" s="1" t="s">
        <v>26</v>
      </c>
      <c r="D891" s="1" t="s">
        <v>36</v>
      </c>
      <c r="E891" s="1" t="s">
        <v>28</v>
      </c>
      <c r="F891" s="1">
        <v>28</v>
      </c>
      <c r="G891" s="1" t="str" cm="1">
        <f t="array" ref="G891">_xlfn.IFS(F891&lt;=25,"YOUTH",F891&lt;=48,"ADULT",TRUE,"SENIOR")</f>
        <v>ADULT</v>
      </c>
      <c r="H891" s="1" t="s">
        <v>21</v>
      </c>
      <c r="I891" s="1" t="s">
        <v>33</v>
      </c>
      <c r="J891" s="1" t="s">
        <v>23</v>
      </c>
      <c r="K891" s="1" t="s">
        <v>24</v>
      </c>
      <c r="L891" s="1">
        <v>33530</v>
      </c>
      <c r="M891" s="3">
        <f t="shared" si="39"/>
        <v>8.3865195347450044E-2</v>
      </c>
      <c r="N891" s="1">
        <v>2812</v>
      </c>
      <c r="O891" s="4">
        <f t="shared" si="40"/>
        <v>5.2956685499058382</v>
      </c>
      <c r="P891" s="1">
        <v>531</v>
      </c>
      <c r="Q891" s="1">
        <v>1353.68014930098</v>
      </c>
      <c r="R891" s="1">
        <v>13701.7105797398</v>
      </c>
      <c r="S891" s="5">
        <f t="shared" si="41"/>
        <v>13700.7105797398</v>
      </c>
      <c r="T891" s="1">
        <v>567</v>
      </c>
      <c r="U891" s="1">
        <v>78</v>
      </c>
      <c r="V891" s="1">
        <v>12</v>
      </c>
      <c r="W891" s="1">
        <v>3603</v>
      </c>
      <c r="X891" s="1">
        <v>0.45371359224554397</v>
      </c>
    </row>
    <row r="892" spans="1:24" x14ac:dyDescent="0.3">
      <c r="A892" s="2">
        <v>45345</v>
      </c>
      <c r="B892" s="1" t="s">
        <v>40</v>
      </c>
      <c r="C892" s="1" t="s">
        <v>35</v>
      </c>
      <c r="D892" s="1" t="s">
        <v>27</v>
      </c>
      <c r="E892" s="1" t="s">
        <v>28</v>
      </c>
      <c r="F892" s="1">
        <v>53</v>
      </c>
      <c r="G892" s="1" t="str" cm="1">
        <f t="array" ref="G892">_xlfn.IFS(F892&lt;=25,"YOUTH",F892&lt;=48,"ADULT",TRUE,"SENIOR")</f>
        <v>SENIOR</v>
      </c>
      <c r="H892" s="1" t="s">
        <v>29</v>
      </c>
      <c r="I892" s="1" t="s">
        <v>22</v>
      </c>
      <c r="J892" s="1" t="s">
        <v>23</v>
      </c>
      <c r="K892" s="1" t="s">
        <v>31</v>
      </c>
      <c r="L892" s="1">
        <v>39736</v>
      </c>
      <c r="M892" s="3">
        <f t="shared" si="39"/>
        <v>0.14993960136903564</v>
      </c>
      <c r="N892" s="1">
        <v>5958</v>
      </c>
      <c r="O892" s="4">
        <f t="shared" si="40"/>
        <v>15.803713527851459</v>
      </c>
      <c r="P892" s="1">
        <v>377</v>
      </c>
      <c r="Q892" s="1">
        <v>4625.1608400004798</v>
      </c>
      <c r="R892" s="1">
        <v>2796.11390973569</v>
      </c>
      <c r="S892" s="5">
        <f t="shared" si="41"/>
        <v>2795.11390973569</v>
      </c>
      <c r="T892" s="1">
        <v>976</v>
      </c>
      <c r="U892" s="1">
        <v>82</v>
      </c>
      <c r="V892" s="1">
        <v>22</v>
      </c>
      <c r="W892" s="1">
        <v>4422</v>
      </c>
      <c r="X892" s="1">
        <v>0.83632037526870096</v>
      </c>
    </row>
    <row r="893" spans="1:24" x14ac:dyDescent="0.3">
      <c r="A893" s="2">
        <v>45304</v>
      </c>
      <c r="B893" s="1" t="s">
        <v>40</v>
      </c>
      <c r="C893" s="1" t="s">
        <v>35</v>
      </c>
      <c r="D893" s="1" t="s">
        <v>19</v>
      </c>
      <c r="E893" s="1" t="s">
        <v>20</v>
      </c>
      <c r="F893" s="1">
        <v>30</v>
      </c>
      <c r="G893" s="1" t="str" cm="1">
        <f t="array" ref="G893">_xlfn.IFS(F893&lt;=25,"YOUTH",F893&lt;=48,"ADULT",TRUE,"SENIOR")</f>
        <v>ADULT</v>
      </c>
      <c r="H893" s="1" t="s">
        <v>21</v>
      </c>
      <c r="I893" s="1" t="s">
        <v>22</v>
      </c>
      <c r="J893" s="1" t="s">
        <v>23</v>
      </c>
      <c r="K893" s="1" t="s">
        <v>31</v>
      </c>
      <c r="L893" s="1">
        <v>41409</v>
      </c>
      <c r="M893" s="3">
        <f t="shared" si="39"/>
        <v>0.12803979811152166</v>
      </c>
      <c r="N893" s="1">
        <v>5302</v>
      </c>
      <c r="O893" s="4">
        <f t="shared" si="40"/>
        <v>21.729508196721312</v>
      </c>
      <c r="P893" s="1">
        <v>244</v>
      </c>
      <c r="Q893" s="1">
        <v>4055.0049375570402</v>
      </c>
      <c r="R893" s="1">
        <v>6943.3443074049801</v>
      </c>
      <c r="S893" s="5">
        <f t="shared" si="41"/>
        <v>6942.3443074049801</v>
      </c>
      <c r="T893" s="1">
        <v>653</v>
      </c>
      <c r="U893" s="1">
        <v>79</v>
      </c>
      <c r="V893" s="1">
        <v>56</v>
      </c>
      <c r="W893" s="1">
        <v>4175</v>
      </c>
      <c r="X893" s="1">
        <v>0.85380030343881297</v>
      </c>
    </row>
    <row r="894" spans="1:24" x14ac:dyDescent="0.3">
      <c r="A894" s="2">
        <v>45340</v>
      </c>
      <c r="B894" s="1" t="s">
        <v>25</v>
      </c>
      <c r="C894" s="1" t="s">
        <v>26</v>
      </c>
      <c r="D894" s="1" t="s">
        <v>36</v>
      </c>
      <c r="E894" s="1" t="s">
        <v>28</v>
      </c>
      <c r="F894" s="1">
        <v>20</v>
      </c>
      <c r="G894" s="1" t="str" cm="1">
        <f t="array" ref="G894">_xlfn.IFS(F894&lt;=25,"YOUTH",F894&lt;=48,"ADULT",TRUE,"SENIOR")</f>
        <v>YOUTH</v>
      </c>
      <c r="H894" s="1" t="s">
        <v>29</v>
      </c>
      <c r="I894" s="1" t="s">
        <v>37</v>
      </c>
      <c r="J894" s="1" t="s">
        <v>23</v>
      </c>
      <c r="K894" s="1" t="s">
        <v>31</v>
      </c>
      <c r="L894" s="1">
        <v>19565</v>
      </c>
      <c r="M894" s="3">
        <f t="shared" si="39"/>
        <v>6.0618451316125734E-2</v>
      </c>
      <c r="N894" s="1">
        <v>1186</v>
      </c>
      <c r="O894" s="4">
        <f t="shared" si="40"/>
        <v>6.8953488372093021</v>
      </c>
      <c r="P894" s="1">
        <v>172</v>
      </c>
      <c r="Q894" s="1">
        <v>537.731160804399</v>
      </c>
      <c r="R894" s="1">
        <v>1055.29369651924</v>
      </c>
      <c r="S894" s="5">
        <f t="shared" si="41"/>
        <v>1054.29369651924</v>
      </c>
      <c r="T894" s="1">
        <v>221</v>
      </c>
      <c r="U894" s="1">
        <v>24</v>
      </c>
      <c r="V894" s="1">
        <v>15</v>
      </c>
      <c r="W894" s="1">
        <v>2700</v>
      </c>
      <c r="X894" s="1">
        <v>0.41831378096084398</v>
      </c>
    </row>
    <row r="895" spans="1:24" x14ac:dyDescent="0.3">
      <c r="A895" s="2">
        <v>45328</v>
      </c>
      <c r="B895" s="1" t="s">
        <v>40</v>
      </c>
      <c r="C895" s="1" t="s">
        <v>18</v>
      </c>
      <c r="D895" s="1" t="s">
        <v>27</v>
      </c>
      <c r="E895" s="1" t="s">
        <v>20</v>
      </c>
      <c r="F895" s="1">
        <v>50</v>
      </c>
      <c r="G895" s="1" t="str" cm="1">
        <f t="array" ref="G895">_xlfn.IFS(F895&lt;=25,"YOUTH",F895&lt;=48,"ADULT",TRUE,"SENIOR")</f>
        <v>SENIOR</v>
      </c>
      <c r="H895" s="1" t="s">
        <v>21</v>
      </c>
      <c r="I895" s="1" t="s">
        <v>37</v>
      </c>
      <c r="J895" s="1" t="s">
        <v>38</v>
      </c>
      <c r="K895" s="1" t="s">
        <v>31</v>
      </c>
      <c r="L895" s="1">
        <v>10834</v>
      </c>
      <c r="M895" s="3">
        <f t="shared" si="39"/>
        <v>1.1445449510799335E-2</v>
      </c>
      <c r="N895" s="1">
        <v>124</v>
      </c>
      <c r="O895" s="4">
        <f t="shared" si="40"/>
        <v>5.6363636363636367</v>
      </c>
      <c r="P895" s="1">
        <v>22</v>
      </c>
      <c r="Q895" s="1">
        <v>1311.64997174466</v>
      </c>
      <c r="R895" s="1">
        <v>385.09352193532999</v>
      </c>
      <c r="S895" s="5">
        <f t="shared" si="41"/>
        <v>384.09352193532999</v>
      </c>
      <c r="T895" s="1">
        <v>142</v>
      </c>
      <c r="U895" s="1">
        <v>25</v>
      </c>
      <c r="V895" s="1">
        <v>8</v>
      </c>
      <c r="W895" s="1">
        <v>1285</v>
      </c>
      <c r="X895" s="1">
        <v>0.59725507912083797</v>
      </c>
    </row>
    <row r="896" spans="1:24" x14ac:dyDescent="0.3">
      <c r="A896" s="2">
        <v>45334</v>
      </c>
      <c r="B896" s="1" t="s">
        <v>17</v>
      </c>
      <c r="C896" s="1" t="s">
        <v>41</v>
      </c>
      <c r="D896" s="1" t="s">
        <v>36</v>
      </c>
      <c r="E896" s="1" t="s">
        <v>28</v>
      </c>
      <c r="F896" s="1">
        <v>23</v>
      </c>
      <c r="G896" s="1" t="str" cm="1">
        <f t="array" ref="G896">_xlfn.IFS(F896&lt;=25,"YOUTH",F896&lt;=48,"ADULT",TRUE,"SENIOR")</f>
        <v>YOUTH</v>
      </c>
      <c r="H896" s="1" t="s">
        <v>21</v>
      </c>
      <c r="I896" s="1" t="s">
        <v>22</v>
      </c>
      <c r="J896" s="1" t="s">
        <v>23</v>
      </c>
      <c r="K896" s="1" t="s">
        <v>31</v>
      </c>
      <c r="L896" s="1">
        <v>37656</v>
      </c>
      <c r="M896" s="3">
        <f t="shared" si="39"/>
        <v>9.7647121308689189E-2</v>
      </c>
      <c r="N896" s="1">
        <v>3677</v>
      </c>
      <c r="O896" s="4">
        <f t="shared" si="40"/>
        <v>31.973913043478262</v>
      </c>
      <c r="P896" s="1">
        <v>115</v>
      </c>
      <c r="Q896" s="1">
        <v>2628.40523960471</v>
      </c>
      <c r="R896" s="1">
        <v>6199.7283125266904</v>
      </c>
      <c r="S896" s="5">
        <f t="shared" si="41"/>
        <v>6198.7283125266904</v>
      </c>
      <c r="T896" s="1">
        <v>261</v>
      </c>
      <c r="U896" s="1">
        <v>14</v>
      </c>
      <c r="V896" s="1">
        <v>24</v>
      </c>
      <c r="W896" s="1">
        <v>7438</v>
      </c>
      <c r="X896" s="1">
        <v>0.81243205002887697</v>
      </c>
    </row>
    <row r="897" spans="1:24" x14ac:dyDescent="0.3">
      <c r="A897" s="2">
        <v>45330</v>
      </c>
      <c r="B897" s="1" t="s">
        <v>34</v>
      </c>
      <c r="C897" s="1" t="s">
        <v>41</v>
      </c>
      <c r="D897" s="1" t="s">
        <v>36</v>
      </c>
      <c r="E897" s="1" t="s">
        <v>28</v>
      </c>
      <c r="F897" s="1">
        <v>27</v>
      </c>
      <c r="G897" s="1" t="str" cm="1">
        <f t="array" ref="G897">_xlfn.IFS(F897&lt;=25,"YOUTH",F897&lt;=48,"ADULT",TRUE,"SENIOR")</f>
        <v>ADULT</v>
      </c>
      <c r="H897" s="1" t="s">
        <v>21</v>
      </c>
      <c r="I897" s="1" t="s">
        <v>33</v>
      </c>
      <c r="J897" s="1" t="s">
        <v>23</v>
      </c>
      <c r="K897" s="1" t="s">
        <v>24</v>
      </c>
      <c r="L897" s="1">
        <v>1840</v>
      </c>
      <c r="M897" s="3">
        <f t="shared" si="39"/>
        <v>0.10815217391304348</v>
      </c>
      <c r="N897" s="1">
        <v>199</v>
      </c>
      <c r="O897" s="4">
        <f t="shared" si="40"/>
        <v>28.428571428571427</v>
      </c>
      <c r="P897" s="1">
        <v>7</v>
      </c>
      <c r="Q897" s="1">
        <v>115.827119491649</v>
      </c>
      <c r="R897" s="1">
        <v>461.375221138455</v>
      </c>
      <c r="S897" s="5">
        <f t="shared" si="41"/>
        <v>460.375221138455</v>
      </c>
      <c r="T897" s="1">
        <v>32</v>
      </c>
      <c r="U897" s="1">
        <v>5</v>
      </c>
      <c r="V897" s="1">
        <v>1</v>
      </c>
      <c r="W897" s="1">
        <v>307</v>
      </c>
      <c r="X897" s="1">
        <v>0.92051001611842898</v>
      </c>
    </row>
    <row r="898" spans="1:24" x14ac:dyDescent="0.3">
      <c r="A898" s="2">
        <v>45333</v>
      </c>
      <c r="B898" s="1" t="s">
        <v>25</v>
      </c>
      <c r="C898" s="1" t="s">
        <v>41</v>
      </c>
      <c r="D898" s="1" t="s">
        <v>36</v>
      </c>
      <c r="E898" s="1" t="s">
        <v>28</v>
      </c>
      <c r="F898" s="1">
        <v>22</v>
      </c>
      <c r="G898" s="1" t="str" cm="1">
        <f t="array" ref="G898">_xlfn.IFS(F898&lt;=25,"YOUTH",F898&lt;=48,"ADULT",TRUE,"SENIOR")</f>
        <v>YOUTH</v>
      </c>
      <c r="H898" s="1" t="s">
        <v>21</v>
      </c>
      <c r="I898" s="1" t="s">
        <v>22</v>
      </c>
      <c r="J898" s="1" t="s">
        <v>38</v>
      </c>
      <c r="K898" s="1" t="s">
        <v>24</v>
      </c>
      <c r="L898" s="1">
        <v>14873</v>
      </c>
      <c r="M898" s="3">
        <f t="shared" si="39"/>
        <v>0.10105560411483896</v>
      </c>
      <c r="N898" s="1">
        <v>1503</v>
      </c>
      <c r="O898" s="4">
        <f t="shared" si="40"/>
        <v>4.8957654723127035</v>
      </c>
      <c r="P898" s="1">
        <v>307</v>
      </c>
      <c r="Q898" s="1">
        <v>1163.8088248315701</v>
      </c>
      <c r="R898" s="1">
        <v>3280.04647858113</v>
      </c>
      <c r="S898" s="5">
        <f t="shared" si="41"/>
        <v>3279.04647858113</v>
      </c>
      <c r="T898" s="1">
        <v>129</v>
      </c>
      <c r="U898" s="1">
        <v>19</v>
      </c>
      <c r="V898" s="1">
        <v>5</v>
      </c>
      <c r="W898" s="1">
        <v>896</v>
      </c>
      <c r="X898" s="1">
        <v>0.60780005611469701</v>
      </c>
    </row>
    <row r="899" spans="1:24" x14ac:dyDescent="0.3">
      <c r="A899" s="2">
        <v>45308</v>
      </c>
      <c r="B899" s="1" t="s">
        <v>34</v>
      </c>
      <c r="C899" s="1" t="s">
        <v>26</v>
      </c>
      <c r="D899" s="1" t="s">
        <v>27</v>
      </c>
      <c r="E899" s="1" t="s">
        <v>20</v>
      </c>
      <c r="F899" s="1">
        <v>40</v>
      </c>
      <c r="G899" s="1" t="str" cm="1">
        <f t="array" ref="G899">_xlfn.IFS(F899&lt;=25,"YOUTH",F899&lt;=48,"ADULT",TRUE,"SENIOR")</f>
        <v>ADULT</v>
      </c>
      <c r="H899" s="1" t="s">
        <v>21</v>
      </c>
      <c r="I899" s="1" t="s">
        <v>37</v>
      </c>
      <c r="J899" s="1" t="s">
        <v>23</v>
      </c>
      <c r="K899" s="1" t="s">
        <v>31</v>
      </c>
      <c r="L899" s="1">
        <v>32568</v>
      </c>
      <c r="M899" s="3">
        <f t="shared" ref="M899:M962" si="42">(N899/L899)</f>
        <v>0.14548022598870056</v>
      </c>
      <c r="N899" s="1">
        <v>4738</v>
      </c>
      <c r="O899" s="4">
        <f t="shared" ref="O899:O962" si="43">(N899/P899)</f>
        <v>4.8545081967213113</v>
      </c>
      <c r="P899" s="1">
        <v>976</v>
      </c>
      <c r="Q899" s="1">
        <v>2117.0098893017798</v>
      </c>
      <c r="R899" s="1">
        <v>40273.225407738697</v>
      </c>
      <c r="S899" s="5">
        <f t="shared" ref="S899:S962" si="44">(R899-Q899/Q899)</f>
        <v>40272.225407738697</v>
      </c>
      <c r="T899" s="1">
        <v>823</v>
      </c>
      <c r="U899" s="1">
        <v>132</v>
      </c>
      <c r="V899" s="1">
        <v>66</v>
      </c>
      <c r="W899" s="1">
        <v>4816</v>
      </c>
      <c r="X899" s="1">
        <v>0.87962938725872097</v>
      </c>
    </row>
    <row r="900" spans="1:24" x14ac:dyDescent="0.3">
      <c r="A900" s="2">
        <v>45306</v>
      </c>
      <c r="B900" s="1" t="s">
        <v>17</v>
      </c>
      <c r="C900" s="1" t="s">
        <v>35</v>
      </c>
      <c r="D900" s="1" t="s">
        <v>32</v>
      </c>
      <c r="E900" s="1" t="s">
        <v>28</v>
      </c>
      <c r="F900" s="1">
        <v>27</v>
      </c>
      <c r="G900" s="1" t="str" cm="1">
        <f t="array" ref="G900">_xlfn.IFS(F900&lt;=25,"YOUTH",F900&lt;=48,"ADULT",TRUE,"SENIOR")</f>
        <v>ADULT</v>
      </c>
      <c r="H900" s="1" t="s">
        <v>29</v>
      </c>
      <c r="I900" s="1" t="s">
        <v>22</v>
      </c>
      <c r="J900" s="1" t="s">
        <v>23</v>
      </c>
      <c r="K900" s="1" t="s">
        <v>31</v>
      </c>
      <c r="L900" s="1">
        <v>11846</v>
      </c>
      <c r="M900" s="3">
        <f t="shared" si="42"/>
        <v>0.13076143846023974</v>
      </c>
      <c r="N900" s="1">
        <v>1549</v>
      </c>
      <c r="O900" s="4">
        <f t="shared" si="43"/>
        <v>13.127118644067796</v>
      </c>
      <c r="P900" s="1">
        <v>118</v>
      </c>
      <c r="Q900" s="1">
        <v>757.87304629141499</v>
      </c>
      <c r="R900" s="1">
        <v>2537.2660897713199</v>
      </c>
      <c r="S900" s="5">
        <f t="shared" si="44"/>
        <v>2536.2660897713199</v>
      </c>
      <c r="T900" s="1">
        <v>183</v>
      </c>
      <c r="U900" s="1">
        <v>9</v>
      </c>
      <c r="V900" s="1">
        <v>15</v>
      </c>
      <c r="W900" s="1">
        <v>600</v>
      </c>
      <c r="X900" s="1">
        <v>0.61654622359270705</v>
      </c>
    </row>
    <row r="901" spans="1:24" x14ac:dyDescent="0.3">
      <c r="A901" s="2">
        <v>45309</v>
      </c>
      <c r="B901" s="1" t="s">
        <v>25</v>
      </c>
      <c r="C901" s="1" t="s">
        <v>18</v>
      </c>
      <c r="D901" s="1" t="s">
        <v>36</v>
      </c>
      <c r="E901" s="1" t="s">
        <v>20</v>
      </c>
      <c r="F901" s="1">
        <v>19</v>
      </c>
      <c r="G901" s="1" t="str" cm="1">
        <f t="array" ref="G901">_xlfn.IFS(F901&lt;=25,"YOUTH",F901&lt;=48,"ADULT",TRUE,"SENIOR")</f>
        <v>YOUTH</v>
      </c>
      <c r="H901" s="1" t="s">
        <v>29</v>
      </c>
      <c r="I901" s="1" t="s">
        <v>37</v>
      </c>
      <c r="J901" s="1" t="s">
        <v>38</v>
      </c>
      <c r="K901" s="1" t="s">
        <v>31</v>
      </c>
      <c r="L901" s="1">
        <v>6899</v>
      </c>
      <c r="M901" s="3">
        <f t="shared" si="42"/>
        <v>7.2764168720104369E-2</v>
      </c>
      <c r="N901" s="1">
        <v>502</v>
      </c>
      <c r="O901" s="4">
        <f t="shared" si="43"/>
        <v>6.1975308641975309</v>
      </c>
      <c r="P901" s="1">
        <v>81</v>
      </c>
      <c r="Q901" s="1">
        <v>862.72061780000001</v>
      </c>
      <c r="R901" s="1">
        <v>1137.14629730503</v>
      </c>
      <c r="S901" s="5">
        <f t="shared" si="44"/>
        <v>1136.14629730503</v>
      </c>
      <c r="T901" s="1">
        <v>166</v>
      </c>
      <c r="U901" s="1">
        <v>23</v>
      </c>
      <c r="V901" s="1">
        <v>8</v>
      </c>
      <c r="W901" s="1">
        <v>1094</v>
      </c>
      <c r="X901" s="1">
        <v>0.49872204498345601</v>
      </c>
    </row>
    <row r="902" spans="1:24" x14ac:dyDescent="0.3">
      <c r="A902" s="2">
        <v>45314</v>
      </c>
      <c r="B902" s="1" t="s">
        <v>34</v>
      </c>
      <c r="C902" s="1" t="s">
        <v>35</v>
      </c>
      <c r="D902" s="1" t="s">
        <v>36</v>
      </c>
      <c r="E902" s="1" t="s">
        <v>28</v>
      </c>
      <c r="F902" s="1">
        <v>30</v>
      </c>
      <c r="G902" s="1" t="str" cm="1">
        <f t="array" ref="G902">_xlfn.IFS(F902&lt;=25,"YOUTH",F902&lt;=48,"ADULT",TRUE,"SENIOR")</f>
        <v>ADULT</v>
      </c>
      <c r="H902" s="1" t="s">
        <v>21</v>
      </c>
      <c r="I902" s="1" t="s">
        <v>37</v>
      </c>
      <c r="J902" s="1" t="s">
        <v>38</v>
      </c>
      <c r="K902" s="1" t="s">
        <v>24</v>
      </c>
      <c r="L902" s="1">
        <v>21502</v>
      </c>
      <c r="M902" s="3">
        <f t="shared" si="42"/>
        <v>1.8788949865128825E-2</v>
      </c>
      <c r="N902" s="1">
        <v>404</v>
      </c>
      <c r="O902" s="4">
        <f t="shared" si="43"/>
        <v>8.2448979591836729</v>
      </c>
      <c r="P902" s="1">
        <v>49</v>
      </c>
      <c r="Q902" s="1">
        <v>778.06455731824497</v>
      </c>
      <c r="R902" s="1">
        <v>942.45203220460996</v>
      </c>
      <c r="S902" s="5">
        <f t="shared" si="44"/>
        <v>941.45203220460996</v>
      </c>
      <c r="T902" s="1">
        <v>620</v>
      </c>
      <c r="U902" s="1">
        <v>85</v>
      </c>
      <c r="V902" s="1">
        <v>59</v>
      </c>
      <c r="W902" s="1">
        <v>817</v>
      </c>
      <c r="X902" s="1">
        <v>0.40189537907727801</v>
      </c>
    </row>
    <row r="903" spans="1:24" x14ac:dyDescent="0.3">
      <c r="A903" s="2">
        <v>45345</v>
      </c>
      <c r="B903" s="1" t="s">
        <v>34</v>
      </c>
      <c r="C903" s="1" t="s">
        <v>41</v>
      </c>
      <c r="D903" s="1" t="s">
        <v>19</v>
      </c>
      <c r="E903" s="1" t="s">
        <v>28</v>
      </c>
      <c r="F903" s="1">
        <v>57</v>
      </c>
      <c r="G903" s="1" t="str" cm="1">
        <f t="array" ref="G903">_xlfn.IFS(F903&lt;=25,"YOUTH",F903&lt;=48,"ADULT",TRUE,"SENIOR")</f>
        <v>SENIOR</v>
      </c>
      <c r="H903" s="1" t="s">
        <v>29</v>
      </c>
      <c r="I903" s="1" t="s">
        <v>22</v>
      </c>
      <c r="J903" s="1" t="s">
        <v>38</v>
      </c>
      <c r="K903" s="1" t="s">
        <v>31</v>
      </c>
      <c r="L903" s="1">
        <v>1565</v>
      </c>
      <c r="M903" s="3">
        <f t="shared" si="42"/>
        <v>7.6038338658146964E-2</v>
      </c>
      <c r="N903" s="1">
        <v>119</v>
      </c>
      <c r="O903" s="4">
        <f t="shared" si="43"/>
        <v>6.2631578947368425</v>
      </c>
      <c r="P903" s="1">
        <v>19</v>
      </c>
      <c r="Q903" s="1">
        <v>228.76858380559901</v>
      </c>
      <c r="R903" s="1">
        <v>808.53738835966794</v>
      </c>
      <c r="S903" s="5">
        <f t="shared" si="44"/>
        <v>807.53738835966794</v>
      </c>
      <c r="T903" s="1">
        <v>41</v>
      </c>
      <c r="U903" s="1">
        <v>5</v>
      </c>
      <c r="V903" s="1">
        <v>3</v>
      </c>
      <c r="W903" s="1">
        <v>156</v>
      </c>
      <c r="X903" s="1">
        <v>0.58159956273408298</v>
      </c>
    </row>
    <row r="904" spans="1:24" x14ac:dyDescent="0.3">
      <c r="A904" s="2">
        <v>45342</v>
      </c>
      <c r="B904" s="1" t="s">
        <v>17</v>
      </c>
      <c r="C904" s="1" t="s">
        <v>35</v>
      </c>
      <c r="D904" s="1" t="s">
        <v>32</v>
      </c>
      <c r="E904" s="1" t="s">
        <v>20</v>
      </c>
      <c r="F904" s="1">
        <v>19</v>
      </c>
      <c r="G904" s="1" t="str" cm="1">
        <f t="array" ref="G904">_xlfn.IFS(F904&lt;=25,"YOUTH",F904&lt;=48,"ADULT",TRUE,"SENIOR")</f>
        <v>YOUTH</v>
      </c>
      <c r="H904" s="1" t="s">
        <v>29</v>
      </c>
      <c r="I904" s="1" t="s">
        <v>33</v>
      </c>
      <c r="J904" s="1" t="s">
        <v>38</v>
      </c>
      <c r="K904" s="1" t="s">
        <v>31</v>
      </c>
      <c r="L904" s="1">
        <v>39773</v>
      </c>
      <c r="M904" s="3">
        <f t="shared" si="42"/>
        <v>0.10647926985643527</v>
      </c>
      <c r="N904" s="1">
        <v>4235</v>
      </c>
      <c r="O904" s="4">
        <f t="shared" si="43"/>
        <v>4.5783783783783782</v>
      </c>
      <c r="P904" s="1">
        <v>925</v>
      </c>
      <c r="Q904" s="1">
        <v>3664.7285179210899</v>
      </c>
      <c r="R904" s="1">
        <v>8541.2118993181502</v>
      </c>
      <c r="S904" s="5">
        <f t="shared" si="44"/>
        <v>8540.2118993181502</v>
      </c>
      <c r="T904" s="1">
        <v>1144</v>
      </c>
      <c r="U904" s="1">
        <v>192</v>
      </c>
      <c r="V904" s="1">
        <v>24</v>
      </c>
      <c r="W904" s="1">
        <v>6372</v>
      </c>
      <c r="X904" s="1">
        <v>0.60816127790005403</v>
      </c>
    </row>
    <row r="905" spans="1:24" x14ac:dyDescent="0.3">
      <c r="A905" s="2">
        <v>45321</v>
      </c>
      <c r="B905" s="1" t="s">
        <v>34</v>
      </c>
      <c r="C905" s="1" t="s">
        <v>26</v>
      </c>
      <c r="D905" s="1" t="s">
        <v>27</v>
      </c>
      <c r="E905" s="1" t="s">
        <v>28</v>
      </c>
      <c r="F905" s="1">
        <v>37</v>
      </c>
      <c r="G905" s="1" t="str" cm="1">
        <f t="array" ref="G905">_xlfn.IFS(F905&lt;=25,"YOUTH",F905&lt;=48,"ADULT",TRUE,"SENIOR")</f>
        <v>ADULT</v>
      </c>
      <c r="H905" s="1" t="s">
        <v>29</v>
      </c>
      <c r="I905" s="1" t="s">
        <v>43</v>
      </c>
      <c r="J905" s="1" t="s">
        <v>38</v>
      </c>
      <c r="K905" s="1" t="s">
        <v>31</v>
      </c>
      <c r="L905" s="1">
        <v>42924</v>
      </c>
      <c r="M905" s="3">
        <f t="shared" si="42"/>
        <v>9.5075016307893015E-2</v>
      </c>
      <c r="N905" s="1">
        <v>4081</v>
      </c>
      <c r="O905" s="4">
        <f t="shared" si="43"/>
        <v>26.160256410256409</v>
      </c>
      <c r="P905" s="1">
        <v>156</v>
      </c>
      <c r="Q905" s="1">
        <v>1879.21786207073</v>
      </c>
      <c r="R905" s="1">
        <v>5182.9765651477501</v>
      </c>
      <c r="S905" s="5">
        <f t="shared" si="44"/>
        <v>5181.9765651477501</v>
      </c>
      <c r="T905" s="1">
        <v>824</v>
      </c>
      <c r="U905" s="1">
        <v>109</v>
      </c>
      <c r="V905" s="1">
        <v>27</v>
      </c>
      <c r="W905" s="1">
        <v>2713</v>
      </c>
      <c r="X905" s="1">
        <v>0.919814640888034</v>
      </c>
    </row>
    <row r="906" spans="1:24" x14ac:dyDescent="0.3">
      <c r="A906" s="2">
        <v>45349</v>
      </c>
      <c r="B906" s="1" t="s">
        <v>17</v>
      </c>
      <c r="C906" s="1" t="s">
        <v>26</v>
      </c>
      <c r="D906" s="1" t="s">
        <v>19</v>
      </c>
      <c r="E906" s="1" t="s">
        <v>28</v>
      </c>
      <c r="F906" s="1">
        <v>18</v>
      </c>
      <c r="G906" s="1" t="str" cm="1">
        <f t="array" ref="G906">_xlfn.IFS(F906&lt;=25,"YOUTH",F906&lt;=48,"ADULT",TRUE,"SENIOR")</f>
        <v>YOUTH</v>
      </c>
      <c r="H906" s="1" t="s">
        <v>29</v>
      </c>
      <c r="I906" s="1" t="s">
        <v>22</v>
      </c>
      <c r="J906" s="1" t="s">
        <v>23</v>
      </c>
      <c r="K906" s="1" t="s">
        <v>31</v>
      </c>
      <c r="L906" s="1">
        <v>44242</v>
      </c>
      <c r="M906" s="3">
        <f t="shared" si="42"/>
        <v>8.532616066181456E-2</v>
      </c>
      <c r="N906" s="1">
        <v>3775</v>
      </c>
      <c r="O906" s="4">
        <f t="shared" si="43"/>
        <v>5.0333333333333332</v>
      </c>
      <c r="P906" s="1">
        <v>750</v>
      </c>
      <c r="Q906" s="1">
        <v>1639.52060146227</v>
      </c>
      <c r="R906" s="1">
        <v>10342.3577340642</v>
      </c>
      <c r="S906" s="5">
        <f t="shared" si="44"/>
        <v>10341.3577340642</v>
      </c>
      <c r="T906" s="1">
        <v>404</v>
      </c>
      <c r="U906" s="1">
        <v>72</v>
      </c>
      <c r="V906" s="1">
        <v>34</v>
      </c>
      <c r="W906" s="1">
        <v>7479</v>
      </c>
      <c r="X906" s="1">
        <v>0.51333863883134201</v>
      </c>
    </row>
    <row r="907" spans="1:24" x14ac:dyDescent="0.3">
      <c r="A907" s="2">
        <v>45325</v>
      </c>
      <c r="B907" s="1" t="s">
        <v>40</v>
      </c>
      <c r="C907" s="1" t="s">
        <v>18</v>
      </c>
      <c r="D907" s="1" t="s">
        <v>36</v>
      </c>
      <c r="E907" s="1" t="s">
        <v>28</v>
      </c>
      <c r="F907" s="1">
        <v>54</v>
      </c>
      <c r="G907" s="1" t="str" cm="1">
        <f t="array" ref="G907">_xlfn.IFS(F907&lt;=25,"YOUTH",F907&lt;=48,"ADULT",TRUE,"SENIOR")</f>
        <v>SENIOR</v>
      </c>
      <c r="H907" s="1" t="s">
        <v>42</v>
      </c>
      <c r="I907" s="1" t="s">
        <v>43</v>
      </c>
      <c r="J907" s="1" t="s">
        <v>38</v>
      </c>
      <c r="K907" s="1" t="s">
        <v>31</v>
      </c>
      <c r="L907" s="1">
        <v>10187</v>
      </c>
      <c r="M907" s="3">
        <f t="shared" si="42"/>
        <v>7.5586531854324138E-2</v>
      </c>
      <c r="N907" s="1">
        <v>770</v>
      </c>
      <c r="O907" s="4">
        <f t="shared" si="43"/>
        <v>7.5490196078431371</v>
      </c>
      <c r="P907" s="1">
        <v>102</v>
      </c>
      <c r="Q907" s="1">
        <v>987.08198850167798</v>
      </c>
      <c r="R907" s="1">
        <v>2317.8488573754098</v>
      </c>
      <c r="S907" s="5">
        <f t="shared" si="44"/>
        <v>2316.8488573754098</v>
      </c>
      <c r="T907" s="1">
        <v>289</v>
      </c>
      <c r="U907" s="1">
        <v>24</v>
      </c>
      <c r="V907" s="1">
        <v>13</v>
      </c>
      <c r="W907" s="1">
        <v>1348</v>
      </c>
      <c r="X907" s="1">
        <v>0.61022688940962699</v>
      </c>
    </row>
    <row r="908" spans="1:24" x14ac:dyDescent="0.3">
      <c r="A908" s="2">
        <v>45349</v>
      </c>
      <c r="B908" s="1" t="s">
        <v>17</v>
      </c>
      <c r="C908" s="1" t="s">
        <v>18</v>
      </c>
      <c r="D908" s="1" t="s">
        <v>19</v>
      </c>
      <c r="E908" s="1" t="s">
        <v>28</v>
      </c>
      <c r="F908" s="1">
        <v>26</v>
      </c>
      <c r="G908" s="1" t="str" cm="1">
        <f t="array" ref="G908">_xlfn.IFS(F908&lt;=25,"YOUTH",F908&lt;=48,"ADULT",TRUE,"SENIOR")</f>
        <v>ADULT</v>
      </c>
      <c r="H908" s="1" t="s">
        <v>21</v>
      </c>
      <c r="I908" s="1" t="s">
        <v>22</v>
      </c>
      <c r="J908" s="1" t="s">
        <v>23</v>
      </c>
      <c r="K908" s="1" t="s">
        <v>24</v>
      </c>
      <c r="L908" s="1">
        <v>8226</v>
      </c>
      <c r="M908" s="3">
        <f t="shared" si="42"/>
        <v>5.1057622173595912E-2</v>
      </c>
      <c r="N908" s="1">
        <v>420</v>
      </c>
      <c r="O908" s="4">
        <f t="shared" si="43"/>
        <v>6.774193548387097</v>
      </c>
      <c r="P908" s="1">
        <v>62</v>
      </c>
      <c r="Q908" s="1">
        <v>841.43694530000005</v>
      </c>
      <c r="R908" s="1">
        <v>1078.73994886535</v>
      </c>
      <c r="S908" s="5">
        <f t="shared" si="44"/>
        <v>1077.73994886535</v>
      </c>
      <c r="T908" s="1">
        <v>219</v>
      </c>
      <c r="U908" s="1">
        <v>37</v>
      </c>
      <c r="V908" s="1">
        <v>6</v>
      </c>
      <c r="W908" s="1">
        <v>703</v>
      </c>
      <c r="X908" s="1">
        <v>0.41383477140271202</v>
      </c>
    </row>
    <row r="909" spans="1:24" x14ac:dyDescent="0.3">
      <c r="A909" s="2">
        <v>45295</v>
      </c>
      <c r="B909" s="1" t="s">
        <v>40</v>
      </c>
      <c r="C909" s="1" t="s">
        <v>41</v>
      </c>
      <c r="D909" s="1" t="s">
        <v>19</v>
      </c>
      <c r="E909" s="1" t="s">
        <v>20</v>
      </c>
      <c r="F909" s="1">
        <v>34</v>
      </c>
      <c r="G909" s="1" t="str" cm="1">
        <f t="array" ref="G909">_xlfn.IFS(F909&lt;=25,"YOUTH",F909&lt;=48,"ADULT",TRUE,"SENIOR")</f>
        <v>ADULT</v>
      </c>
      <c r="H909" s="1" t="s">
        <v>42</v>
      </c>
      <c r="I909" s="1" t="s">
        <v>43</v>
      </c>
      <c r="J909" s="1" t="s">
        <v>38</v>
      </c>
      <c r="K909" s="1" t="s">
        <v>39</v>
      </c>
      <c r="L909" s="1">
        <v>43147</v>
      </c>
      <c r="M909" s="3">
        <f t="shared" si="42"/>
        <v>4.8809882494727327E-2</v>
      </c>
      <c r="N909" s="1">
        <v>2106</v>
      </c>
      <c r="O909" s="4">
        <f t="shared" si="43"/>
        <v>5.8826815642458099</v>
      </c>
      <c r="P909" s="1">
        <v>358</v>
      </c>
      <c r="Q909" s="1">
        <v>1160.3673825410201</v>
      </c>
      <c r="R909" s="1">
        <v>22336.839881064901</v>
      </c>
      <c r="S909" s="5">
        <f t="shared" si="44"/>
        <v>22335.839881064901</v>
      </c>
      <c r="T909" s="1">
        <v>1148</v>
      </c>
      <c r="U909" s="1">
        <v>88</v>
      </c>
      <c r="V909" s="1">
        <v>95</v>
      </c>
      <c r="W909" s="1">
        <v>3902</v>
      </c>
      <c r="X909" s="1">
        <v>0.81994685430026204</v>
      </c>
    </row>
    <row r="910" spans="1:24" x14ac:dyDescent="0.3">
      <c r="A910" s="2">
        <v>45294</v>
      </c>
      <c r="B910" s="1" t="s">
        <v>25</v>
      </c>
      <c r="C910" s="1" t="s">
        <v>18</v>
      </c>
      <c r="D910" s="1" t="s">
        <v>36</v>
      </c>
      <c r="E910" s="1" t="s">
        <v>20</v>
      </c>
      <c r="F910" s="1">
        <v>26</v>
      </c>
      <c r="G910" s="1" t="str" cm="1">
        <f t="array" ref="G910">_xlfn.IFS(F910&lt;=25,"YOUTH",F910&lt;=48,"ADULT",TRUE,"SENIOR")</f>
        <v>ADULT</v>
      </c>
      <c r="H910" s="1" t="s">
        <v>21</v>
      </c>
      <c r="I910" s="1" t="s">
        <v>33</v>
      </c>
      <c r="J910" s="1" t="s">
        <v>23</v>
      </c>
      <c r="K910" s="1" t="s">
        <v>39</v>
      </c>
      <c r="L910" s="1">
        <v>39658</v>
      </c>
      <c r="M910" s="3">
        <f t="shared" si="42"/>
        <v>8.0009077613596241E-2</v>
      </c>
      <c r="N910" s="1">
        <v>3173</v>
      </c>
      <c r="O910" s="4">
        <f t="shared" si="43"/>
        <v>4.3111413043478262</v>
      </c>
      <c r="P910" s="1">
        <v>736</v>
      </c>
      <c r="Q910" s="1">
        <v>2045.9660883675199</v>
      </c>
      <c r="R910" s="1">
        <v>37551.262068882403</v>
      </c>
      <c r="S910" s="5">
        <f t="shared" si="44"/>
        <v>37550.262068882403</v>
      </c>
      <c r="T910" s="1">
        <v>885</v>
      </c>
      <c r="U910" s="1">
        <v>152</v>
      </c>
      <c r="V910" s="1">
        <v>49</v>
      </c>
      <c r="W910" s="1">
        <v>7373</v>
      </c>
      <c r="X910" s="1">
        <v>0.90332767994024199</v>
      </c>
    </row>
    <row r="911" spans="1:24" x14ac:dyDescent="0.3">
      <c r="A911" s="2">
        <v>45298</v>
      </c>
      <c r="B911" s="1" t="s">
        <v>34</v>
      </c>
      <c r="C911" s="1" t="s">
        <v>35</v>
      </c>
      <c r="D911" s="1" t="s">
        <v>32</v>
      </c>
      <c r="E911" s="1" t="s">
        <v>28</v>
      </c>
      <c r="F911" s="1">
        <v>28</v>
      </c>
      <c r="G911" s="1" t="str" cm="1">
        <f t="array" ref="G911">_xlfn.IFS(F911&lt;=25,"YOUTH",F911&lt;=48,"ADULT",TRUE,"SENIOR")</f>
        <v>ADULT</v>
      </c>
      <c r="H911" s="1" t="s">
        <v>21</v>
      </c>
      <c r="I911" s="1" t="s">
        <v>33</v>
      </c>
      <c r="J911" s="1" t="s">
        <v>23</v>
      </c>
      <c r="K911" s="1" t="s">
        <v>31</v>
      </c>
      <c r="L911" s="1">
        <v>46881</v>
      </c>
      <c r="M911" s="3">
        <f t="shared" si="42"/>
        <v>3.2465177790576137E-2</v>
      </c>
      <c r="N911" s="1">
        <v>1522</v>
      </c>
      <c r="O911" s="4">
        <f t="shared" si="43"/>
        <v>30.44</v>
      </c>
      <c r="P911" s="1">
        <v>50</v>
      </c>
      <c r="Q911" s="1">
        <v>5785.5865427418603</v>
      </c>
      <c r="R911" s="1">
        <v>3072.5033815792699</v>
      </c>
      <c r="S911" s="5">
        <f t="shared" si="44"/>
        <v>3071.5033815792699</v>
      </c>
      <c r="T911" s="1">
        <v>966</v>
      </c>
      <c r="U911" s="1">
        <v>184</v>
      </c>
      <c r="V911" s="1">
        <v>57</v>
      </c>
      <c r="W911" s="1">
        <v>2408</v>
      </c>
      <c r="X911" s="1">
        <v>0.53080135600207001</v>
      </c>
    </row>
    <row r="912" spans="1:24" x14ac:dyDescent="0.3">
      <c r="A912" s="2">
        <v>45347</v>
      </c>
      <c r="B912" s="1" t="s">
        <v>17</v>
      </c>
      <c r="C912" s="1" t="s">
        <v>26</v>
      </c>
      <c r="D912" s="1" t="s">
        <v>32</v>
      </c>
      <c r="E912" s="1" t="s">
        <v>28</v>
      </c>
      <c r="F912" s="1">
        <v>32</v>
      </c>
      <c r="G912" s="1" t="str" cm="1">
        <f t="array" ref="G912">_xlfn.IFS(F912&lt;=25,"YOUTH",F912&lt;=48,"ADULT",TRUE,"SENIOR")</f>
        <v>ADULT</v>
      </c>
      <c r="H912" s="1" t="s">
        <v>29</v>
      </c>
      <c r="I912" s="1" t="s">
        <v>22</v>
      </c>
      <c r="J912" s="1" t="s">
        <v>23</v>
      </c>
      <c r="K912" s="1" t="s">
        <v>39</v>
      </c>
      <c r="L912" s="1">
        <v>5311</v>
      </c>
      <c r="M912" s="3">
        <f t="shared" si="42"/>
        <v>5.7616268122764075E-2</v>
      </c>
      <c r="N912" s="1">
        <v>306</v>
      </c>
      <c r="O912" s="4">
        <f t="shared" si="43"/>
        <v>38.25</v>
      </c>
      <c r="P912" s="1">
        <v>8</v>
      </c>
      <c r="Q912" s="1">
        <v>140.482331732962</v>
      </c>
      <c r="R912" s="1">
        <v>239.40067396480001</v>
      </c>
      <c r="S912" s="5">
        <f t="shared" si="44"/>
        <v>238.40067396480001</v>
      </c>
      <c r="T912" s="1">
        <v>28</v>
      </c>
      <c r="U912" s="1">
        <v>2</v>
      </c>
      <c r="V912" s="1">
        <v>0</v>
      </c>
      <c r="W912" s="1">
        <v>752</v>
      </c>
      <c r="X912" s="1">
        <v>0.63594731085209</v>
      </c>
    </row>
    <row r="913" spans="1:24" x14ac:dyDescent="0.3">
      <c r="A913" s="2">
        <v>45309</v>
      </c>
      <c r="B913" s="1" t="s">
        <v>17</v>
      </c>
      <c r="C913" s="1" t="s">
        <v>26</v>
      </c>
      <c r="D913" s="1" t="s">
        <v>19</v>
      </c>
      <c r="E913" s="1" t="s">
        <v>20</v>
      </c>
      <c r="F913" s="1">
        <v>41</v>
      </c>
      <c r="G913" s="1" t="str" cm="1">
        <f t="array" ref="G913">_xlfn.IFS(F913&lt;=25,"YOUTH",F913&lt;=48,"ADULT",TRUE,"SENIOR")</f>
        <v>ADULT</v>
      </c>
      <c r="H913" s="1" t="s">
        <v>21</v>
      </c>
      <c r="I913" s="1" t="s">
        <v>37</v>
      </c>
      <c r="J913" s="1" t="s">
        <v>38</v>
      </c>
      <c r="K913" s="1" t="s">
        <v>39</v>
      </c>
      <c r="L913" s="1">
        <v>45214</v>
      </c>
      <c r="M913" s="3">
        <f t="shared" si="42"/>
        <v>5.5336842570885121E-2</v>
      </c>
      <c r="N913" s="1">
        <v>2502</v>
      </c>
      <c r="O913" s="4">
        <f t="shared" si="43"/>
        <v>16.460526315789473</v>
      </c>
      <c r="P913" s="1">
        <v>152</v>
      </c>
      <c r="Q913" s="1">
        <v>5930.33725048017</v>
      </c>
      <c r="R913" s="1">
        <v>3856.5240447542601</v>
      </c>
      <c r="S913" s="5">
        <f t="shared" si="44"/>
        <v>3855.5240447542601</v>
      </c>
      <c r="T913" s="1">
        <v>1071</v>
      </c>
      <c r="U913" s="1">
        <v>138</v>
      </c>
      <c r="V913" s="1">
        <v>78</v>
      </c>
      <c r="W913" s="1">
        <v>6528</v>
      </c>
      <c r="X913" s="1">
        <v>0.46716194175129599</v>
      </c>
    </row>
    <row r="914" spans="1:24" x14ac:dyDescent="0.3">
      <c r="A914" s="2">
        <v>45333</v>
      </c>
      <c r="B914" s="1" t="s">
        <v>34</v>
      </c>
      <c r="C914" s="1" t="s">
        <v>26</v>
      </c>
      <c r="D914" s="1" t="s">
        <v>36</v>
      </c>
      <c r="E914" s="1" t="s">
        <v>28</v>
      </c>
      <c r="F914" s="1">
        <v>55</v>
      </c>
      <c r="G914" s="1" t="str" cm="1">
        <f t="array" ref="G914">_xlfn.IFS(F914&lt;=25,"YOUTH",F914&lt;=48,"ADULT",TRUE,"SENIOR")</f>
        <v>SENIOR</v>
      </c>
      <c r="H914" s="1" t="s">
        <v>29</v>
      </c>
      <c r="I914" s="1" t="s">
        <v>43</v>
      </c>
      <c r="J914" s="1" t="s">
        <v>23</v>
      </c>
      <c r="K914" s="1" t="s">
        <v>31</v>
      </c>
      <c r="L914" s="1">
        <v>42616</v>
      </c>
      <c r="M914" s="3">
        <f t="shared" si="42"/>
        <v>9.2195419560728367E-2</v>
      </c>
      <c r="N914" s="1">
        <v>3929</v>
      </c>
      <c r="O914" s="4">
        <f t="shared" si="43"/>
        <v>4.0505154639175256</v>
      </c>
      <c r="P914" s="1">
        <v>970</v>
      </c>
      <c r="Q914" s="1">
        <v>4498.5927730000003</v>
      </c>
      <c r="R914" s="1">
        <v>28846.022638304199</v>
      </c>
      <c r="S914" s="5">
        <f t="shared" si="44"/>
        <v>28845.022638304199</v>
      </c>
      <c r="T914" s="1">
        <v>310</v>
      </c>
      <c r="U914" s="1">
        <v>46</v>
      </c>
      <c r="V914" s="1">
        <v>19</v>
      </c>
      <c r="W914" s="1">
        <v>7895</v>
      </c>
      <c r="X914" s="1">
        <v>0.65125948667208899</v>
      </c>
    </row>
    <row r="915" spans="1:24" x14ac:dyDescent="0.3">
      <c r="A915" s="2">
        <v>45298</v>
      </c>
      <c r="B915" s="1" t="s">
        <v>34</v>
      </c>
      <c r="C915" s="1" t="s">
        <v>18</v>
      </c>
      <c r="D915" s="1" t="s">
        <v>27</v>
      </c>
      <c r="E915" s="1" t="s">
        <v>20</v>
      </c>
      <c r="F915" s="1">
        <v>52</v>
      </c>
      <c r="G915" s="1" t="str" cm="1">
        <f t="array" ref="G915">_xlfn.IFS(F915&lt;=25,"YOUTH",F915&lt;=48,"ADULT",TRUE,"SENIOR")</f>
        <v>SENIOR</v>
      </c>
      <c r="H915" s="1" t="s">
        <v>21</v>
      </c>
      <c r="I915" s="1" t="s">
        <v>37</v>
      </c>
      <c r="J915" s="1" t="s">
        <v>38</v>
      </c>
      <c r="K915" s="1" t="s">
        <v>39</v>
      </c>
      <c r="L915" s="1">
        <v>26689</v>
      </c>
      <c r="M915" s="3">
        <f t="shared" si="42"/>
        <v>1.9333807935853722E-2</v>
      </c>
      <c r="N915" s="1">
        <v>516</v>
      </c>
      <c r="O915" s="4">
        <f t="shared" si="43"/>
        <v>5.4315789473684211</v>
      </c>
      <c r="P915" s="1">
        <v>95</v>
      </c>
      <c r="Q915" s="1">
        <v>2041.0419079887899</v>
      </c>
      <c r="R915" s="1">
        <v>589.53510859821597</v>
      </c>
      <c r="S915" s="5">
        <f t="shared" si="44"/>
        <v>588.53510859821597</v>
      </c>
      <c r="T915" s="1">
        <v>306</v>
      </c>
      <c r="U915" s="1">
        <v>18</v>
      </c>
      <c r="V915" s="1">
        <v>11</v>
      </c>
      <c r="W915" s="1">
        <v>3883</v>
      </c>
      <c r="X915" s="1">
        <v>0.47333835500425198</v>
      </c>
    </row>
    <row r="916" spans="1:24" x14ac:dyDescent="0.3">
      <c r="A916" s="2">
        <v>45331</v>
      </c>
      <c r="B916" s="1" t="s">
        <v>25</v>
      </c>
      <c r="C916" s="1" t="s">
        <v>26</v>
      </c>
      <c r="D916" s="1" t="s">
        <v>19</v>
      </c>
      <c r="E916" s="1" t="s">
        <v>28</v>
      </c>
      <c r="F916" s="1">
        <v>47</v>
      </c>
      <c r="G916" s="1" t="str" cm="1">
        <f t="array" ref="G916">_xlfn.IFS(F916&lt;=25,"YOUTH",F916&lt;=48,"ADULT",TRUE,"SENIOR")</f>
        <v>ADULT</v>
      </c>
      <c r="H916" s="1" t="s">
        <v>21</v>
      </c>
      <c r="I916" s="1" t="s">
        <v>37</v>
      </c>
      <c r="J916" s="1" t="s">
        <v>38</v>
      </c>
      <c r="K916" s="1" t="s">
        <v>31</v>
      </c>
      <c r="L916" s="1">
        <v>7083</v>
      </c>
      <c r="M916" s="3">
        <f t="shared" si="42"/>
        <v>0.12607652124805874</v>
      </c>
      <c r="N916" s="1">
        <v>893</v>
      </c>
      <c r="O916" s="4">
        <f t="shared" si="43"/>
        <v>6.2013888888888893</v>
      </c>
      <c r="P916" s="1">
        <v>144</v>
      </c>
      <c r="Q916" s="1">
        <v>460.65190300392902</v>
      </c>
      <c r="R916" s="1">
        <v>7503.2320153905002</v>
      </c>
      <c r="S916" s="5">
        <f t="shared" si="44"/>
        <v>7502.2320153905002</v>
      </c>
      <c r="T916" s="1">
        <v>133</v>
      </c>
      <c r="U916" s="1">
        <v>16</v>
      </c>
      <c r="V916" s="1">
        <v>6</v>
      </c>
      <c r="W916" s="1">
        <v>857</v>
      </c>
      <c r="X916" s="1">
        <v>0.68784167193053303</v>
      </c>
    </row>
    <row r="917" spans="1:24" x14ac:dyDescent="0.3">
      <c r="A917" s="2">
        <v>45297</v>
      </c>
      <c r="B917" s="1" t="s">
        <v>25</v>
      </c>
      <c r="C917" s="1" t="s">
        <v>26</v>
      </c>
      <c r="D917" s="1" t="s">
        <v>27</v>
      </c>
      <c r="E917" s="1" t="s">
        <v>20</v>
      </c>
      <c r="F917" s="1">
        <v>48</v>
      </c>
      <c r="G917" s="1" t="str" cm="1">
        <f t="array" ref="G917">_xlfn.IFS(F917&lt;=25,"YOUTH",F917&lt;=48,"ADULT",TRUE,"SENIOR")</f>
        <v>ADULT</v>
      </c>
      <c r="H917" s="1" t="s">
        <v>29</v>
      </c>
      <c r="I917" s="1" t="s">
        <v>37</v>
      </c>
      <c r="J917" s="1" t="s">
        <v>23</v>
      </c>
      <c r="K917" s="1" t="s">
        <v>24</v>
      </c>
      <c r="L917" s="1">
        <v>13598</v>
      </c>
      <c r="M917" s="3">
        <f t="shared" si="42"/>
        <v>8.8689513163700551E-2</v>
      </c>
      <c r="N917" s="1">
        <v>1206</v>
      </c>
      <c r="O917" s="4">
        <f t="shared" si="43"/>
        <v>32.594594594594597</v>
      </c>
      <c r="P917" s="1">
        <v>37</v>
      </c>
      <c r="Q917" s="1">
        <v>305.98716335424302</v>
      </c>
      <c r="R917" s="1">
        <v>1026.20275883266</v>
      </c>
      <c r="S917" s="5">
        <f t="shared" si="44"/>
        <v>1025.20275883266</v>
      </c>
      <c r="T917" s="1">
        <v>221</v>
      </c>
      <c r="U917" s="1">
        <v>23</v>
      </c>
      <c r="V917" s="1">
        <v>14</v>
      </c>
      <c r="W917" s="1">
        <v>2467</v>
      </c>
      <c r="X917" s="1">
        <v>0.80404212223772797</v>
      </c>
    </row>
    <row r="918" spans="1:24" x14ac:dyDescent="0.3">
      <c r="A918" s="2">
        <v>45313</v>
      </c>
      <c r="B918" s="1" t="s">
        <v>17</v>
      </c>
      <c r="C918" s="1" t="s">
        <v>26</v>
      </c>
      <c r="D918" s="1" t="s">
        <v>19</v>
      </c>
      <c r="E918" s="1" t="s">
        <v>20</v>
      </c>
      <c r="F918" s="1">
        <v>22</v>
      </c>
      <c r="G918" s="1" t="str" cm="1">
        <f t="array" ref="G918">_xlfn.IFS(F918&lt;=25,"YOUTH",F918&lt;=48,"ADULT",TRUE,"SENIOR")</f>
        <v>YOUTH</v>
      </c>
      <c r="H918" s="1" t="s">
        <v>42</v>
      </c>
      <c r="I918" s="1" t="s">
        <v>33</v>
      </c>
      <c r="J918" s="1" t="s">
        <v>38</v>
      </c>
      <c r="K918" s="1" t="s">
        <v>31</v>
      </c>
      <c r="L918" s="1">
        <v>17940</v>
      </c>
      <c r="M918" s="3">
        <f t="shared" si="42"/>
        <v>0.10390189520624303</v>
      </c>
      <c r="N918" s="1">
        <v>1864</v>
      </c>
      <c r="O918" s="4">
        <f t="shared" si="43"/>
        <v>4.5024154589371976</v>
      </c>
      <c r="P918" s="1">
        <v>414</v>
      </c>
      <c r="Q918" s="1">
        <v>2283.3662964824398</v>
      </c>
      <c r="R918" s="1">
        <v>10501.543554251401</v>
      </c>
      <c r="S918" s="5">
        <f t="shared" si="44"/>
        <v>10500.543554251401</v>
      </c>
      <c r="T918" s="1">
        <v>96</v>
      </c>
      <c r="U918" s="1">
        <v>17</v>
      </c>
      <c r="V918" s="1">
        <v>9</v>
      </c>
      <c r="W918" s="1">
        <v>3005</v>
      </c>
      <c r="X918" s="1">
        <v>0.70433852614779202</v>
      </c>
    </row>
    <row r="919" spans="1:24" x14ac:dyDescent="0.3">
      <c r="A919" s="2">
        <v>45349</v>
      </c>
      <c r="B919" s="1" t="s">
        <v>25</v>
      </c>
      <c r="C919" s="1" t="s">
        <v>41</v>
      </c>
      <c r="D919" s="1" t="s">
        <v>19</v>
      </c>
      <c r="E919" s="1" t="s">
        <v>20</v>
      </c>
      <c r="F919" s="1">
        <v>31</v>
      </c>
      <c r="G919" s="1" t="str" cm="1">
        <f t="array" ref="G919">_xlfn.IFS(F919&lt;=25,"YOUTH",F919&lt;=48,"ADULT",TRUE,"SENIOR")</f>
        <v>ADULT</v>
      </c>
      <c r="H919" s="1" t="s">
        <v>21</v>
      </c>
      <c r="I919" s="1" t="s">
        <v>22</v>
      </c>
      <c r="J919" s="1" t="s">
        <v>38</v>
      </c>
      <c r="K919" s="1" t="s">
        <v>24</v>
      </c>
      <c r="L919" s="1">
        <v>27880</v>
      </c>
      <c r="M919" s="3">
        <f t="shared" si="42"/>
        <v>0.10842898134863702</v>
      </c>
      <c r="N919" s="1">
        <v>3023</v>
      </c>
      <c r="O919" s="4">
        <f t="shared" si="43"/>
        <v>4.8368000000000002</v>
      </c>
      <c r="P919" s="1">
        <v>625</v>
      </c>
      <c r="Q919" s="1">
        <v>1074.8810875235599</v>
      </c>
      <c r="R919" s="1">
        <v>27424.480780000002</v>
      </c>
      <c r="S919" s="5">
        <f t="shared" si="44"/>
        <v>27423.480780000002</v>
      </c>
      <c r="T919" s="1">
        <v>713</v>
      </c>
      <c r="U919" s="1">
        <v>129</v>
      </c>
      <c r="V919" s="1">
        <v>66</v>
      </c>
      <c r="W919" s="1">
        <v>4075</v>
      </c>
      <c r="X919" s="1">
        <v>0.53487076811305601</v>
      </c>
    </row>
    <row r="920" spans="1:24" x14ac:dyDescent="0.3">
      <c r="A920" s="2">
        <v>45292</v>
      </c>
      <c r="B920" s="1" t="s">
        <v>40</v>
      </c>
      <c r="C920" s="1" t="s">
        <v>41</v>
      </c>
      <c r="D920" s="1" t="s">
        <v>36</v>
      </c>
      <c r="E920" s="1" t="s">
        <v>20</v>
      </c>
      <c r="F920" s="1">
        <v>28</v>
      </c>
      <c r="G920" s="1" t="str" cm="1">
        <f t="array" ref="G920">_xlfn.IFS(F920&lt;=25,"YOUTH",F920&lt;=48,"ADULT",TRUE,"SENIOR")</f>
        <v>ADULT</v>
      </c>
      <c r="H920" s="1" t="s">
        <v>21</v>
      </c>
      <c r="I920" s="1" t="s">
        <v>22</v>
      </c>
      <c r="J920" s="1" t="s">
        <v>23</v>
      </c>
      <c r="K920" s="1" t="s">
        <v>31</v>
      </c>
      <c r="L920" s="1">
        <v>3580</v>
      </c>
      <c r="M920" s="3">
        <f t="shared" si="42"/>
        <v>5.0558659217877097E-2</v>
      </c>
      <c r="N920" s="1">
        <v>181</v>
      </c>
      <c r="O920" s="4">
        <f t="shared" si="43"/>
        <v>5.838709677419355</v>
      </c>
      <c r="P920" s="1">
        <v>31</v>
      </c>
      <c r="Q920" s="1">
        <v>215.660843012615</v>
      </c>
      <c r="R920" s="1">
        <v>1034.043572</v>
      </c>
      <c r="S920" s="5">
        <f t="shared" si="44"/>
        <v>1033.043572</v>
      </c>
      <c r="T920" s="1">
        <v>96</v>
      </c>
      <c r="U920" s="1">
        <v>14</v>
      </c>
      <c r="V920" s="1">
        <v>4</v>
      </c>
      <c r="W920" s="1">
        <v>57</v>
      </c>
      <c r="X920" s="1">
        <v>0.59458779200789702</v>
      </c>
    </row>
    <row r="921" spans="1:24" x14ac:dyDescent="0.3">
      <c r="A921" s="2">
        <v>45295</v>
      </c>
      <c r="B921" s="1" t="s">
        <v>25</v>
      </c>
      <c r="C921" s="1" t="s">
        <v>18</v>
      </c>
      <c r="D921" s="1" t="s">
        <v>36</v>
      </c>
      <c r="E921" s="1" t="s">
        <v>28</v>
      </c>
      <c r="F921" s="1">
        <v>26</v>
      </c>
      <c r="G921" s="1" t="str" cm="1">
        <f t="array" ref="G921">_xlfn.IFS(F921&lt;=25,"YOUTH",F921&lt;=48,"ADULT",TRUE,"SENIOR")</f>
        <v>ADULT</v>
      </c>
      <c r="H921" s="1" t="s">
        <v>29</v>
      </c>
      <c r="I921" s="1" t="s">
        <v>33</v>
      </c>
      <c r="J921" s="1" t="s">
        <v>23</v>
      </c>
      <c r="K921" s="1" t="s">
        <v>39</v>
      </c>
      <c r="L921" s="1">
        <v>47612</v>
      </c>
      <c r="M921" s="3">
        <f t="shared" si="42"/>
        <v>7.5842224649248086E-2</v>
      </c>
      <c r="N921" s="1">
        <v>3611</v>
      </c>
      <c r="O921" s="4">
        <f t="shared" si="43"/>
        <v>10.229461756373938</v>
      </c>
      <c r="P921" s="1">
        <v>353</v>
      </c>
      <c r="Q921" s="1">
        <v>4474.7618013743904</v>
      </c>
      <c r="R921" s="1">
        <v>24270.4510838973</v>
      </c>
      <c r="S921" s="5">
        <f t="shared" si="44"/>
        <v>24269.4510838973</v>
      </c>
      <c r="T921" s="1">
        <v>1049</v>
      </c>
      <c r="U921" s="1">
        <v>155</v>
      </c>
      <c r="V921" s="1">
        <v>82</v>
      </c>
      <c r="W921" s="1">
        <v>3855</v>
      </c>
      <c r="X921" s="1">
        <v>0.75121500573809696</v>
      </c>
    </row>
    <row r="922" spans="1:24" x14ac:dyDescent="0.3">
      <c r="A922" s="2">
        <v>45337</v>
      </c>
      <c r="B922" s="1" t="s">
        <v>25</v>
      </c>
      <c r="C922" s="1" t="s">
        <v>26</v>
      </c>
      <c r="D922" s="1" t="s">
        <v>27</v>
      </c>
      <c r="E922" s="1" t="s">
        <v>28</v>
      </c>
      <c r="F922" s="1">
        <v>51</v>
      </c>
      <c r="G922" s="1" t="str" cm="1">
        <f t="array" ref="G922">_xlfn.IFS(F922&lt;=25,"YOUTH",F922&lt;=48,"ADULT",TRUE,"SENIOR")</f>
        <v>SENIOR</v>
      </c>
      <c r="H922" s="1" t="s">
        <v>21</v>
      </c>
      <c r="I922" s="1" t="s">
        <v>33</v>
      </c>
      <c r="J922" s="1" t="s">
        <v>23</v>
      </c>
      <c r="K922" s="1" t="s">
        <v>39</v>
      </c>
      <c r="L922" s="1">
        <v>43321</v>
      </c>
      <c r="M922" s="3">
        <f t="shared" si="42"/>
        <v>0.14385632833960435</v>
      </c>
      <c r="N922" s="1">
        <v>6232</v>
      </c>
      <c r="O922" s="4">
        <f t="shared" si="43"/>
        <v>27.697777777777777</v>
      </c>
      <c r="P922" s="1">
        <v>225</v>
      </c>
      <c r="Q922" s="1">
        <v>2251.7839055992799</v>
      </c>
      <c r="R922" s="1">
        <v>6335.2007523949596</v>
      </c>
      <c r="S922" s="5">
        <f t="shared" si="44"/>
        <v>6334.2007523949596</v>
      </c>
      <c r="T922" s="1">
        <v>802</v>
      </c>
      <c r="U922" s="1">
        <v>128</v>
      </c>
      <c r="V922" s="1">
        <v>65</v>
      </c>
      <c r="W922" s="1">
        <v>5634</v>
      </c>
      <c r="X922" s="1">
        <v>0.72436547978412802</v>
      </c>
    </row>
    <row r="923" spans="1:24" x14ac:dyDescent="0.3">
      <c r="A923" s="2">
        <v>45340</v>
      </c>
      <c r="B923" s="1" t="s">
        <v>17</v>
      </c>
      <c r="C923" s="1" t="s">
        <v>18</v>
      </c>
      <c r="D923" s="1" t="s">
        <v>27</v>
      </c>
      <c r="E923" s="1" t="s">
        <v>20</v>
      </c>
      <c r="F923" s="1">
        <v>29</v>
      </c>
      <c r="G923" s="1" t="str" cm="1">
        <f t="array" ref="G923">_xlfn.IFS(F923&lt;=25,"YOUTH",F923&lt;=48,"ADULT",TRUE,"SENIOR")</f>
        <v>ADULT</v>
      </c>
      <c r="H923" s="1" t="s">
        <v>21</v>
      </c>
      <c r="I923" s="1" t="s">
        <v>22</v>
      </c>
      <c r="J923" s="1" t="s">
        <v>23</v>
      </c>
      <c r="K923" s="1" t="s">
        <v>39</v>
      </c>
      <c r="L923" s="1">
        <v>10386</v>
      </c>
      <c r="M923" s="3">
        <f t="shared" si="42"/>
        <v>0.1172732524552282</v>
      </c>
      <c r="N923" s="1">
        <v>1218</v>
      </c>
      <c r="O923" s="4">
        <f t="shared" si="43"/>
        <v>6.5483870967741939</v>
      </c>
      <c r="P923" s="1">
        <v>186</v>
      </c>
      <c r="Q923" s="1">
        <v>878.94911134894699</v>
      </c>
      <c r="R923" s="1">
        <v>8352.0007322936708</v>
      </c>
      <c r="S923" s="5">
        <f t="shared" si="44"/>
        <v>8351.0007322936708</v>
      </c>
      <c r="T923" s="1">
        <v>301</v>
      </c>
      <c r="U923" s="1">
        <v>31</v>
      </c>
      <c r="V923" s="1">
        <v>25</v>
      </c>
      <c r="W923" s="1">
        <v>1134</v>
      </c>
      <c r="X923" s="1">
        <v>0.47522613346673298</v>
      </c>
    </row>
    <row r="924" spans="1:24" x14ac:dyDescent="0.3">
      <c r="A924" s="2">
        <v>45343</v>
      </c>
      <c r="B924" s="1" t="s">
        <v>40</v>
      </c>
      <c r="C924" s="1" t="s">
        <v>26</v>
      </c>
      <c r="D924" s="1" t="s">
        <v>32</v>
      </c>
      <c r="E924" s="1" t="s">
        <v>20</v>
      </c>
      <c r="F924" s="1">
        <v>52</v>
      </c>
      <c r="G924" s="1" t="str" cm="1">
        <f t="array" ref="G924">_xlfn.IFS(F924&lt;=25,"YOUTH",F924&lt;=48,"ADULT",TRUE,"SENIOR")</f>
        <v>SENIOR</v>
      </c>
      <c r="H924" s="1" t="s">
        <v>29</v>
      </c>
      <c r="I924" s="1" t="s">
        <v>37</v>
      </c>
      <c r="J924" s="1" t="s">
        <v>23</v>
      </c>
      <c r="K924" s="1" t="s">
        <v>31</v>
      </c>
      <c r="L924" s="1">
        <v>20522</v>
      </c>
      <c r="M924" s="3">
        <f t="shared" si="42"/>
        <v>0.14569730045804502</v>
      </c>
      <c r="N924" s="1">
        <v>2990</v>
      </c>
      <c r="O924" s="4">
        <f t="shared" si="43"/>
        <v>5.397111913357401</v>
      </c>
      <c r="P924" s="1">
        <v>554</v>
      </c>
      <c r="Q924" s="1">
        <v>2569.6533590788299</v>
      </c>
      <c r="R924" s="1">
        <v>13992.556132953499</v>
      </c>
      <c r="S924" s="5">
        <f t="shared" si="44"/>
        <v>13991.556132953499</v>
      </c>
      <c r="T924" s="1">
        <v>164</v>
      </c>
      <c r="U924" s="1">
        <v>18</v>
      </c>
      <c r="V924" s="1">
        <v>10</v>
      </c>
      <c r="W924" s="1">
        <v>1450</v>
      </c>
      <c r="X924" s="1">
        <v>0.864722210461356</v>
      </c>
    </row>
    <row r="925" spans="1:24" x14ac:dyDescent="0.3">
      <c r="A925" s="2">
        <v>45341</v>
      </c>
      <c r="B925" s="1" t="s">
        <v>25</v>
      </c>
      <c r="C925" s="1" t="s">
        <v>26</v>
      </c>
      <c r="D925" s="1" t="s">
        <v>36</v>
      </c>
      <c r="E925" s="1" t="s">
        <v>20</v>
      </c>
      <c r="F925" s="1">
        <v>52</v>
      </c>
      <c r="G925" s="1" t="str" cm="1">
        <f t="array" ref="G925">_xlfn.IFS(F925&lt;=25,"YOUTH",F925&lt;=48,"ADULT",TRUE,"SENIOR")</f>
        <v>SENIOR</v>
      </c>
      <c r="H925" s="1" t="s">
        <v>29</v>
      </c>
      <c r="I925" s="1" t="s">
        <v>43</v>
      </c>
      <c r="J925" s="1" t="s">
        <v>38</v>
      </c>
      <c r="K925" s="1" t="s">
        <v>31</v>
      </c>
      <c r="L925" s="1">
        <v>27224</v>
      </c>
      <c r="M925" s="3">
        <f t="shared" si="42"/>
        <v>0.1144578313253012</v>
      </c>
      <c r="N925" s="1">
        <v>3116</v>
      </c>
      <c r="O925" s="4">
        <f t="shared" si="43"/>
        <v>24.155038759689923</v>
      </c>
      <c r="P925" s="1">
        <v>129</v>
      </c>
      <c r="Q925" s="1">
        <v>2209.77021577495</v>
      </c>
      <c r="R925" s="1">
        <v>8951.1389090663506</v>
      </c>
      <c r="S925" s="5">
        <f t="shared" si="44"/>
        <v>8950.1389090663506</v>
      </c>
      <c r="T925" s="1">
        <v>638</v>
      </c>
      <c r="U925" s="1">
        <v>84</v>
      </c>
      <c r="V925" s="1">
        <v>13</v>
      </c>
      <c r="W925" s="1">
        <v>1019</v>
      </c>
      <c r="X925" s="1">
        <v>0.66135390173585795</v>
      </c>
    </row>
    <row r="926" spans="1:24" x14ac:dyDescent="0.3">
      <c r="A926" s="2">
        <v>45334</v>
      </c>
      <c r="B926" s="1" t="s">
        <v>40</v>
      </c>
      <c r="C926" s="1" t="s">
        <v>26</v>
      </c>
      <c r="D926" s="1" t="s">
        <v>19</v>
      </c>
      <c r="E926" s="1" t="s">
        <v>20</v>
      </c>
      <c r="F926" s="1">
        <v>18</v>
      </c>
      <c r="G926" s="1" t="str" cm="1">
        <f t="array" ref="G926">_xlfn.IFS(F926&lt;=25,"YOUTH",F926&lt;=48,"ADULT",TRUE,"SENIOR")</f>
        <v>YOUTH</v>
      </c>
      <c r="H926" s="1" t="s">
        <v>21</v>
      </c>
      <c r="I926" s="1" t="s">
        <v>43</v>
      </c>
      <c r="J926" s="1" t="s">
        <v>23</v>
      </c>
      <c r="K926" s="1" t="s">
        <v>39</v>
      </c>
      <c r="L926" s="1">
        <v>15635</v>
      </c>
      <c r="M926" s="3">
        <f t="shared" si="42"/>
        <v>3.45378957467221E-2</v>
      </c>
      <c r="N926" s="1">
        <v>540</v>
      </c>
      <c r="O926" s="4">
        <f t="shared" si="43"/>
        <v>6.0674157303370784</v>
      </c>
      <c r="P926" s="1">
        <v>89</v>
      </c>
      <c r="Q926" s="1">
        <v>2241.5439007902801</v>
      </c>
      <c r="R926" s="1">
        <v>3019.9673358559398</v>
      </c>
      <c r="S926" s="5">
        <f t="shared" si="44"/>
        <v>3018.9673358559398</v>
      </c>
      <c r="T926" s="1">
        <v>128</v>
      </c>
      <c r="U926" s="1">
        <v>24</v>
      </c>
      <c r="V926" s="1">
        <v>10</v>
      </c>
      <c r="W926" s="1">
        <v>1799</v>
      </c>
      <c r="X926" s="1">
        <v>0.48930307348951602</v>
      </c>
    </row>
    <row r="927" spans="1:24" x14ac:dyDescent="0.3">
      <c r="A927" s="2">
        <v>45320</v>
      </c>
      <c r="B927" s="1" t="s">
        <v>40</v>
      </c>
      <c r="C927" s="1" t="s">
        <v>18</v>
      </c>
      <c r="D927" s="1" t="s">
        <v>19</v>
      </c>
      <c r="E927" s="1" t="s">
        <v>28</v>
      </c>
      <c r="F927" s="1">
        <v>57</v>
      </c>
      <c r="G927" s="1" t="str" cm="1">
        <f t="array" ref="G927">_xlfn.IFS(F927&lt;=25,"YOUTH",F927&lt;=48,"ADULT",TRUE,"SENIOR")</f>
        <v>SENIOR</v>
      </c>
      <c r="H927" s="1" t="s">
        <v>29</v>
      </c>
      <c r="I927" s="1" t="s">
        <v>43</v>
      </c>
      <c r="J927" s="1" t="s">
        <v>38</v>
      </c>
      <c r="K927" s="1" t="s">
        <v>31</v>
      </c>
      <c r="L927" s="1">
        <v>1671</v>
      </c>
      <c r="M927" s="3">
        <f t="shared" si="42"/>
        <v>1.8551765409934171E-2</v>
      </c>
      <c r="N927" s="1">
        <v>31</v>
      </c>
      <c r="O927" s="4">
        <f t="shared" si="43"/>
        <v>15.5</v>
      </c>
      <c r="P927" s="1">
        <v>2</v>
      </c>
      <c r="Q927" s="1">
        <v>217.522559764352</v>
      </c>
      <c r="R927" s="1">
        <v>92.436745412684303</v>
      </c>
      <c r="S927" s="5">
        <f t="shared" si="44"/>
        <v>91.436745412684303</v>
      </c>
      <c r="T927" s="1">
        <v>24</v>
      </c>
      <c r="U927" s="1">
        <v>3</v>
      </c>
      <c r="V927" s="1">
        <v>0</v>
      </c>
      <c r="W927" s="1">
        <v>107</v>
      </c>
      <c r="X927" s="1">
        <v>0.46755459841610097</v>
      </c>
    </row>
    <row r="928" spans="1:24" x14ac:dyDescent="0.3">
      <c r="A928" s="2">
        <v>45312</v>
      </c>
      <c r="B928" s="1" t="s">
        <v>40</v>
      </c>
      <c r="C928" s="1" t="s">
        <v>18</v>
      </c>
      <c r="D928" s="1" t="s">
        <v>32</v>
      </c>
      <c r="E928" s="1" t="s">
        <v>20</v>
      </c>
      <c r="F928" s="1">
        <v>39</v>
      </c>
      <c r="G928" s="1" t="str" cm="1">
        <f t="array" ref="G928">_xlfn.IFS(F928&lt;=25,"YOUTH",F928&lt;=48,"ADULT",TRUE,"SENIOR")</f>
        <v>ADULT</v>
      </c>
      <c r="H928" s="1" t="s">
        <v>21</v>
      </c>
      <c r="I928" s="1" t="s">
        <v>37</v>
      </c>
      <c r="J928" s="1" t="s">
        <v>23</v>
      </c>
      <c r="K928" s="1" t="s">
        <v>31</v>
      </c>
      <c r="L928" s="1">
        <v>34545</v>
      </c>
      <c r="M928" s="3">
        <f t="shared" si="42"/>
        <v>9.0866985091909103E-2</v>
      </c>
      <c r="N928" s="1">
        <v>3139</v>
      </c>
      <c r="O928" s="4">
        <f t="shared" si="43"/>
        <v>5.1123778501628667</v>
      </c>
      <c r="P928" s="1">
        <v>614</v>
      </c>
      <c r="Q928" s="1">
        <v>2186.5292501316899</v>
      </c>
      <c r="R928" s="1">
        <v>8127.4618877213397</v>
      </c>
      <c r="S928" s="5">
        <f t="shared" si="44"/>
        <v>8126.4618877213397</v>
      </c>
      <c r="T928" s="1">
        <v>678</v>
      </c>
      <c r="U928" s="1">
        <v>89</v>
      </c>
      <c r="V928" s="1">
        <v>19</v>
      </c>
      <c r="W928" s="1">
        <v>1874</v>
      </c>
      <c r="X928" s="1">
        <v>0.93105347605482103</v>
      </c>
    </row>
    <row r="929" spans="1:24" x14ac:dyDescent="0.3">
      <c r="A929" s="2">
        <v>45317</v>
      </c>
      <c r="B929" s="1" t="s">
        <v>34</v>
      </c>
      <c r="C929" s="1" t="s">
        <v>26</v>
      </c>
      <c r="D929" s="1" t="s">
        <v>36</v>
      </c>
      <c r="E929" s="1" t="s">
        <v>20</v>
      </c>
      <c r="F929" s="1">
        <v>46</v>
      </c>
      <c r="G929" s="1" t="str" cm="1">
        <f t="array" ref="G929">_xlfn.IFS(F929&lt;=25,"YOUTH",F929&lt;=48,"ADULT",TRUE,"SENIOR")</f>
        <v>ADULT</v>
      </c>
      <c r="H929" s="1" t="s">
        <v>42</v>
      </c>
      <c r="I929" s="1" t="s">
        <v>22</v>
      </c>
      <c r="J929" s="1" t="s">
        <v>23</v>
      </c>
      <c r="K929" s="1" t="s">
        <v>39</v>
      </c>
      <c r="L929" s="1">
        <v>27855</v>
      </c>
      <c r="M929" s="3">
        <f t="shared" si="42"/>
        <v>6.0061030335666843E-2</v>
      </c>
      <c r="N929" s="1">
        <v>1673</v>
      </c>
      <c r="O929" s="4">
        <f t="shared" si="43"/>
        <v>6.9419087136929463</v>
      </c>
      <c r="P929" s="1">
        <v>241</v>
      </c>
      <c r="Q929" s="1">
        <v>2005.42284743712</v>
      </c>
      <c r="R929" s="1">
        <v>12687.824325839199</v>
      </c>
      <c r="S929" s="5">
        <f t="shared" si="44"/>
        <v>12686.824325839199</v>
      </c>
      <c r="T929" s="1">
        <v>652</v>
      </c>
      <c r="U929" s="1">
        <v>107</v>
      </c>
      <c r="V929" s="1">
        <v>44</v>
      </c>
      <c r="W929" s="1">
        <v>2390</v>
      </c>
      <c r="X929" s="1">
        <v>0.55484431114544996</v>
      </c>
    </row>
    <row r="930" spans="1:24" x14ac:dyDescent="0.3">
      <c r="A930" s="2">
        <v>45305</v>
      </c>
      <c r="B930" s="1" t="s">
        <v>34</v>
      </c>
      <c r="C930" s="1" t="s">
        <v>35</v>
      </c>
      <c r="D930" s="1" t="s">
        <v>19</v>
      </c>
      <c r="E930" s="1" t="s">
        <v>20</v>
      </c>
      <c r="F930" s="1">
        <v>25</v>
      </c>
      <c r="G930" s="1" t="str" cm="1">
        <f t="array" ref="G930">_xlfn.IFS(F930&lt;=25,"YOUTH",F930&lt;=48,"ADULT",TRUE,"SENIOR")</f>
        <v>YOUTH</v>
      </c>
      <c r="H930" s="1" t="s">
        <v>21</v>
      </c>
      <c r="I930" s="1" t="s">
        <v>33</v>
      </c>
      <c r="J930" s="1" t="s">
        <v>38</v>
      </c>
      <c r="K930" s="1" t="s">
        <v>39</v>
      </c>
      <c r="L930" s="1">
        <v>36790</v>
      </c>
      <c r="M930" s="3">
        <f t="shared" si="42"/>
        <v>4.8545800489263387E-2</v>
      </c>
      <c r="N930" s="1">
        <v>1786</v>
      </c>
      <c r="O930" s="4">
        <f t="shared" si="43"/>
        <v>20.295454545454547</v>
      </c>
      <c r="P930" s="1">
        <v>88</v>
      </c>
      <c r="Q930" s="1">
        <v>2760.4447373306398</v>
      </c>
      <c r="R930" s="1">
        <v>1979.88153104855</v>
      </c>
      <c r="S930" s="5">
        <f t="shared" si="44"/>
        <v>1978.88153104855</v>
      </c>
      <c r="T930" s="1">
        <v>187</v>
      </c>
      <c r="U930" s="1">
        <v>19</v>
      </c>
      <c r="V930" s="1">
        <v>18</v>
      </c>
      <c r="W930" s="1">
        <v>5858</v>
      </c>
      <c r="X930" s="1">
        <v>0.89972647335400602</v>
      </c>
    </row>
    <row r="931" spans="1:24" x14ac:dyDescent="0.3">
      <c r="A931" s="2">
        <v>45300</v>
      </c>
      <c r="B931" s="1" t="s">
        <v>34</v>
      </c>
      <c r="C931" s="1" t="s">
        <v>18</v>
      </c>
      <c r="D931" s="1" t="s">
        <v>32</v>
      </c>
      <c r="E931" s="1" t="s">
        <v>20</v>
      </c>
      <c r="F931" s="1">
        <v>28</v>
      </c>
      <c r="G931" s="1" t="str" cm="1">
        <f t="array" ref="G931">_xlfn.IFS(F931&lt;=25,"YOUTH",F931&lt;=48,"ADULT",TRUE,"SENIOR")</f>
        <v>ADULT</v>
      </c>
      <c r="H931" s="1" t="s">
        <v>29</v>
      </c>
      <c r="I931" s="1" t="s">
        <v>22</v>
      </c>
      <c r="J931" s="1" t="s">
        <v>38</v>
      </c>
      <c r="K931" s="1" t="s">
        <v>31</v>
      </c>
      <c r="L931" s="1">
        <v>47585</v>
      </c>
      <c r="M931" s="3">
        <f t="shared" si="42"/>
        <v>0.12300094567615845</v>
      </c>
      <c r="N931" s="1">
        <v>5853</v>
      </c>
      <c r="O931" s="4">
        <f t="shared" si="43"/>
        <v>7.0945454545454547</v>
      </c>
      <c r="P931" s="1">
        <v>825</v>
      </c>
      <c r="Q931" s="1">
        <v>4825.2774047636904</v>
      </c>
      <c r="R931" s="1">
        <v>28181.885682991098</v>
      </c>
      <c r="S931" s="5">
        <f t="shared" si="44"/>
        <v>28180.885682991098</v>
      </c>
      <c r="T931" s="1">
        <v>547</v>
      </c>
      <c r="U931" s="1">
        <v>87</v>
      </c>
      <c r="V931" s="1">
        <v>21</v>
      </c>
      <c r="W931" s="1">
        <v>4886</v>
      </c>
      <c r="X931" s="1">
        <v>0.62582191432291601</v>
      </c>
    </row>
    <row r="932" spans="1:24" x14ac:dyDescent="0.3">
      <c r="A932" s="2">
        <v>45350</v>
      </c>
      <c r="B932" s="1" t="s">
        <v>34</v>
      </c>
      <c r="C932" s="1" t="s">
        <v>41</v>
      </c>
      <c r="D932" s="1" t="s">
        <v>32</v>
      </c>
      <c r="E932" s="1" t="s">
        <v>20</v>
      </c>
      <c r="F932" s="1">
        <v>58</v>
      </c>
      <c r="G932" s="1" t="str" cm="1">
        <f t="array" ref="G932">_xlfn.IFS(F932&lt;=25,"YOUTH",F932&lt;=48,"ADULT",TRUE,"SENIOR")</f>
        <v>SENIOR</v>
      </c>
      <c r="H932" s="1" t="s">
        <v>21</v>
      </c>
      <c r="I932" s="1" t="s">
        <v>37</v>
      </c>
      <c r="J932" s="1" t="s">
        <v>23</v>
      </c>
      <c r="K932" s="1" t="s">
        <v>31</v>
      </c>
      <c r="L932" s="1">
        <v>15260</v>
      </c>
      <c r="M932" s="3">
        <f t="shared" si="42"/>
        <v>6.1336828309305376E-2</v>
      </c>
      <c r="N932" s="1">
        <v>936</v>
      </c>
      <c r="O932" s="4">
        <f t="shared" si="43"/>
        <v>9.0873786407766985</v>
      </c>
      <c r="P932" s="1">
        <v>103</v>
      </c>
      <c r="Q932" s="1">
        <v>874.14536756422501</v>
      </c>
      <c r="R932" s="1">
        <v>6427.5758522823298</v>
      </c>
      <c r="S932" s="5">
        <f t="shared" si="44"/>
        <v>6426.5758522823298</v>
      </c>
      <c r="T932" s="1">
        <v>281</v>
      </c>
      <c r="U932" s="1">
        <v>31</v>
      </c>
      <c r="V932" s="1">
        <v>20</v>
      </c>
      <c r="W932" s="1">
        <v>780</v>
      </c>
      <c r="X932" s="1">
        <v>0.61225678674925399</v>
      </c>
    </row>
    <row r="933" spans="1:24" x14ac:dyDescent="0.3">
      <c r="A933" s="2">
        <v>45338</v>
      </c>
      <c r="B933" s="1" t="s">
        <v>17</v>
      </c>
      <c r="C933" s="1" t="s">
        <v>18</v>
      </c>
      <c r="D933" s="1" t="s">
        <v>19</v>
      </c>
      <c r="E933" s="1" t="s">
        <v>20</v>
      </c>
      <c r="F933" s="1">
        <v>54</v>
      </c>
      <c r="G933" s="1" t="str" cm="1">
        <f t="array" ref="G933">_xlfn.IFS(F933&lt;=25,"YOUTH",F933&lt;=48,"ADULT",TRUE,"SENIOR")</f>
        <v>SENIOR</v>
      </c>
      <c r="H933" s="1" t="s">
        <v>29</v>
      </c>
      <c r="I933" s="1" t="s">
        <v>33</v>
      </c>
      <c r="J933" s="1" t="s">
        <v>23</v>
      </c>
      <c r="K933" s="1" t="s">
        <v>31</v>
      </c>
      <c r="L933" s="1">
        <v>2074</v>
      </c>
      <c r="M933" s="3">
        <f t="shared" si="42"/>
        <v>5.4001928640308582E-2</v>
      </c>
      <c r="N933" s="1">
        <v>112</v>
      </c>
      <c r="O933" s="4">
        <f t="shared" si="43"/>
        <v>18.666666666666668</v>
      </c>
      <c r="P933" s="1">
        <v>6</v>
      </c>
      <c r="Q933" s="1">
        <v>302.80895280932401</v>
      </c>
      <c r="R933" s="1">
        <v>408.51548080518899</v>
      </c>
      <c r="S933" s="5">
        <f t="shared" si="44"/>
        <v>407.51548080518899</v>
      </c>
      <c r="T933" s="1">
        <v>37</v>
      </c>
      <c r="U933" s="1">
        <v>3</v>
      </c>
      <c r="V933" s="1">
        <v>1</v>
      </c>
      <c r="W933" s="1">
        <v>66</v>
      </c>
      <c r="X933" s="1">
        <v>0.78551093330718702</v>
      </c>
    </row>
    <row r="934" spans="1:24" x14ac:dyDescent="0.3">
      <c r="A934" s="2">
        <v>45303</v>
      </c>
      <c r="B934" s="1" t="s">
        <v>25</v>
      </c>
      <c r="C934" s="1" t="s">
        <v>26</v>
      </c>
      <c r="D934" s="1" t="s">
        <v>19</v>
      </c>
      <c r="E934" s="1" t="s">
        <v>20</v>
      </c>
      <c r="F934" s="1">
        <v>31</v>
      </c>
      <c r="G934" s="1" t="str" cm="1">
        <f t="array" ref="G934">_xlfn.IFS(F934&lt;=25,"YOUTH",F934&lt;=48,"ADULT",TRUE,"SENIOR")</f>
        <v>ADULT</v>
      </c>
      <c r="H934" s="1" t="s">
        <v>29</v>
      </c>
      <c r="I934" s="1" t="s">
        <v>37</v>
      </c>
      <c r="J934" s="1" t="s">
        <v>23</v>
      </c>
      <c r="K934" s="1" t="s">
        <v>39</v>
      </c>
      <c r="L934" s="1">
        <v>43676</v>
      </c>
      <c r="M934" s="3">
        <f t="shared" si="42"/>
        <v>0.12899532924260462</v>
      </c>
      <c r="N934" s="1">
        <v>5634</v>
      </c>
      <c r="O934" s="4">
        <f t="shared" si="43"/>
        <v>4.6832917705735664</v>
      </c>
      <c r="P934" s="1">
        <v>1203</v>
      </c>
      <c r="Q934" s="1">
        <v>4329.5559624801999</v>
      </c>
      <c r="R934" s="1">
        <v>39214.415503406701</v>
      </c>
      <c r="S934" s="5">
        <f t="shared" si="44"/>
        <v>39213.415503406701</v>
      </c>
      <c r="T934" s="1">
        <v>914</v>
      </c>
      <c r="U934" s="1">
        <v>129</v>
      </c>
      <c r="V934" s="1">
        <v>83</v>
      </c>
      <c r="W934" s="1">
        <v>4577</v>
      </c>
      <c r="X934" s="1">
        <v>0.405435808276503</v>
      </c>
    </row>
    <row r="935" spans="1:24" x14ac:dyDescent="0.3">
      <c r="A935" s="2">
        <v>45333</v>
      </c>
      <c r="B935" s="1" t="s">
        <v>34</v>
      </c>
      <c r="C935" s="1" t="s">
        <v>35</v>
      </c>
      <c r="D935" s="1" t="s">
        <v>27</v>
      </c>
      <c r="E935" s="1" t="s">
        <v>28</v>
      </c>
      <c r="F935" s="1">
        <v>47</v>
      </c>
      <c r="G935" s="1" t="str" cm="1">
        <f t="array" ref="G935">_xlfn.IFS(F935&lt;=25,"YOUTH",F935&lt;=48,"ADULT",TRUE,"SENIOR")</f>
        <v>ADULT</v>
      </c>
      <c r="H935" s="1" t="s">
        <v>21</v>
      </c>
      <c r="I935" s="1" t="s">
        <v>43</v>
      </c>
      <c r="J935" s="1" t="s">
        <v>23</v>
      </c>
      <c r="K935" s="1" t="s">
        <v>39</v>
      </c>
      <c r="L935" s="1">
        <v>10475</v>
      </c>
      <c r="M935" s="3">
        <f t="shared" si="42"/>
        <v>0.12840095465393794</v>
      </c>
      <c r="N935" s="1">
        <v>1345</v>
      </c>
      <c r="O935" s="4">
        <f t="shared" si="43"/>
        <v>44.833333333333336</v>
      </c>
      <c r="P935" s="1">
        <v>30</v>
      </c>
      <c r="Q935" s="1">
        <v>753.38520879073803</v>
      </c>
      <c r="R935" s="1">
        <v>1777.8652025112699</v>
      </c>
      <c r="S935" s="5">
        <f t="shared" si="44"/>
        <v>1776.8652025112699</v>
      </c>
      <c r="T935" s="1">
        <v>131</v>
      </c>
      <c r="U935" s="1">
        <v>20</v>
      </c>
      <c r="V935" s="1">
        <v>8</v>
      </c>
      <c r="W935" s="1">
        <v>1685</v>
      </c>
      <c r="X935" s="1">
        <v>0.58594923689671397</v>
      </c>
    </row>
    <row r="936" spans="1:24" x14ac:dyDescent="0.3">
      <c r="A936" s="2">
        <v>45342</v>
      </c>
      <c r="B936" s="1" t="s">
        <v>17</v>
      </c>
      <c r="C936" s="1" t="s">
        <v>26</v>
      </c>
      <c r="D936" s="1" t="s">
        <v>36</v>
      </c>
      <c r="E936" s="1" t="s">
        <v>20</v>
      </c>
      <c r="F936" s="1">
        <v>52</v>
      </c>
      <c r="G936" s="1" t="str" cm="1">
        <f t="array" ref="G936">_xlfn.IFS(F936&lt;=25,"YOUTH",F936&lt;=48,"ADULT",TRUE,"SENIOR")</f>
        <v>SENIOR</v>
      </c>
      <c r="H936" s="1" t="s">
        <v>29</v>
      </c>
      <c r="I936" s="1" t="s">
        <v>43</v>
      </c>
      <c r="J936" s="1" t="s">
        <v>23</v>
      </c>
      <c r="K936" s="1" t="s">
        <v>24</v>
      </c>
      <c r="L936" s="1">
        <v>13878</v>
      </c>
      <c r="M936" s="3">
        <f t="shared" si="42"/>
        <v>5.9878945092952877E-2</v>
      </c>
      <c r="N936" s="1">
        <v>831</v>
      </c>
      <c r="O936" s="4">
        <f t="shared" si="43"/>
        <v>10.934210526315789</v>
      </c>
      <c r="P936" s="1">
        <v>76</v>
      </c>
      <c r="Q936" s="1">
        <v>1441.24800852095</v>
      </c>
      <c r="R936" s="1">
        <v>643.54403307631196</v>
      </c>
      <c r="S936" s="5">
        <f t="shared" si="44"/>
        <v>642.54403307631196</v>
      </c>
      <c r="T936" s="1">
        <v>256</v>
      </c>
      <c r="U936" s="1">
        <v>30</v>
      </c>
      <c r="V936" s="1">
        <v>9</v>
      </c>
      <c r="W936" s="1">
        <v>1860</v>
      </c>
      <c r="X936" s="1">
        <v>0.56645514170549405</v>
      </c>
    </row>
    <row r="937" spans="1:24" x14ac:dyDescent="0.3">
      <c r="A937" s="2">
        <v>45347</v>
      </c>
      <c r="B937" s="1" t="s">
        <v>25</v>
      </c>
      <c r="C937" s="1" t="s">
        <v>41</v>
      </c>
      <c r="D937" s="1" t="s">
        <v>27</v>
      </c>
      <c r="E937" s="1" t="s">
        <v>20</v>
      </c>
      <c r="F937" s="1">
        <v>38</v>
      </c>
      <c r="G937" s="1" t="str" cm="1">
        <f t="array" ref="G937">_xlfn.IFS(F937&lt;=25,"YOUTH",F937&lt;=48,"ADULT",TRUE,"SENIOR")</f>
        <v>ADULT</v>
      </c>
      <c r="H937" s="1" t="s">
        <v>29</v>
      </c>
      <c r="I937" s="1" t="s">
        <v>37</v>
      </c>
      <c r="J937" s="1" t="s">
        <v>23</v>
      </c>
      <c r="K937" s="1" t="s">
        <v>24</v>
      </c>
      <c r="L937" s="1">
        <v>16120</v>
      </c>
      <c r="M937" s="3">
        <f t="shared" si="42"/>
        <v>0.12648883374689826</v>
      </c>
      <c r="N937" s="1">
        <v>2039</v>
      </c>
      <c r="O937" s="4">
        <f t="shared" si="43"/>
        <v>44.326086956521742</v>
      </c>
      <c r="P937" s="1">
        <v>46</v>
      </c>
      <c r="Q937" s="1">
        <v>1151.0107400660499</v>
      </c>
      <c r="R937" s="1">
        <v>2764.2463490728801</v>
      </c>
      <c r="S937" s="5">
        <f t="shared" si="44"/>
        <v>2763.2463490728801</v>
      </c>
      <c r="T937" s="1">
        <v>157</v>
      </c>
      <c r="U937" s="1">
        <v>21</v>
      </c>
      <c r="V937" s="1">
        <v>6</v>
      </c>
      <c r="W937" s="1">
        <v>872</v>
      </c>
      <c r="X937" s="1">
        <v>0.87745395185622499</v>
      </c>
    </row>
    <row r="938" spans="1:24" x14ac:dyDescent="0.3">
      <c r="A938" s="2">
        <v>45342</v>
      </c>
      <c r="B938" s="1" t="s">
        <v>34</v>
      </c>
      <c r="C938" s="1" t="s">
        <v>18</v>
      </c>
      <c r="D938" s="1" t="s">
        <v>32</v>
      </c>
      <c r="E938" s="1" t="s">
        <v>20</v>
      </c>
      <c r="F938" s="1">
        <v>54</v>
      </c>
      <c r="G938" s="1" t="str" cm="1">
        <f t="array" ref="G938">_xlfn.IFS(F938&lt;=25,"YOUTH",F938&lt;=48,"ADULT",TRUE,"SENIOR")</f>
        <v>SENIOR</v>
      </c>
      <c r="H938" s="1" t="s">
        <v>21</v>
      </c>
      <c r="I938" s="1" t="s">
        <v>33</v>
      </c>
      <c r="J938" s="1" t="s">
        <v>23</v>
      </c>
      <c r="K938" s="1" t="s">
        <v>31</v>
      </c>
      <c r="L938" s="1">
        <v>24147</v>
      </c>
      <c r="M938" s="3">
        <f t="shared" si="42"/>
        <v>0.12908435830537954</v>
      </c>
      <c r="N938" s="1">
        <v>3117</v>
      </c>
      <c r="O938" s="4">
        <f t="shared" si="43"/>
        <v>23.793893129770993</v>
      </c>
      <c r="P938" s="1">
        <v>131</v>
      </c>
      <c r="Q938" s="1">
        <v>3050.0906001192998</v>
      </c>
      <c r="R938" s="1">
        <v>6015.2803931298104</v>
      </c>
      <c r="S938" s="5">
        <f t="shared" si="44"/>
        <v>6014.2803931298104</v>
      </c>
      <c r="T938" s="1">
        <v>233</v>
      </c>
      <c r="U938" s="1">
        <v>35</v>
      </c>
      <c r="V938" s="1">
        <v>12</v>
      </c>
      <c r="W938" s="1">
        <v>2245</v>
      </c>
      <c r="X938" s="1">
        <v>0.69101794646143</v>
      </c>
    </row>
    <row r="939" spans="1:24" x14ac:dyDescent="0.3">
      <c r="A939" s="2">
        <v>45297</v>
      </c>
      <c r="B939" s="1" t="s">
        <v>25</v>
      </c>
      <c r="C939" s="1" t="s">
        <v>18</v>
      </c>
      <c r="D939" s="1" t="s">
        <v>19</v>
      </c>
      <c r="E939" s="1" t="s">
        <v>28</v>
      </c>
      <c r="F939" s="1">
        <v>22</v>
      </c>
      <c r="G939" s="1" t="str" cm="1">
        <f t="array" ref="G939">_xlfn.IFS(F939&lt;=25,"YOUTH",F939&lt;=48,"ADULT",TRUE,"SENIOR")</f>
        <v>YOUTH</v>
      </c>
      <c r="H939" s="1" t="s">
        <v>29</v>
      </c>
      <c r="I939" s="1" t="s">
        <v>33</v>
      </c>
      <c r="J939" s="1" t="s">
        <v>38</v>
      </c>
      <c r="K939" s="1" t="s">
        <v>31</v>
      </c>
      <c r="L939" s="1">
        <v>2986</v>
      </c>
      <c r="M939" s="3">
        <f t="shared" si="42"/>
        <v>6.9323509711989278E-2</v>
      </c>
      <c r="N939" s="1">
        <v>207</v>
      </c>
      <c r="O939" s="4">
        <f t="shared" si="43"/>
        <v>11.5</v>
      </c>
      <c r="P939" s="1">
        <v>18</v>
      </c>
      <c r="Q939" s="1">
        <v>280.14450406696699</v>
      </c>
      <c r="R939" s="1">
        <v>661.78621701817406</v>
      </c>
      <c r="S939" s="5">
        <f t="shared" si="44"/>
        <v>660.78621701817406</v>
      </c>
      <c r="T939" s="1">
        <v>57</v>
      </c>
      <c r="U939" s="1">
        <v>9</v>
      </c>
      <c r="V939" s="1">
        <v>1</v>
      </c>
      <c r="W939" s="1">
        <v>515</v>
      </c>
      <c r="X939" s="1">
        <v>0.60051358647333797</v>
      </c>
    </row>
    <row r="940" spans="1:24" x14ac:dyDescent="0.3">
      <c r="A940" s="2">
        <v>45311</v>
      </c>
      <c r="B940" s="1" t="s">
        <v>34</v>
      </c>
      <c r="C940" s="1" t="s">
        <v>26</v>
      </c>
      <c r="D940" s="1" t="s">
        <v>27</v>
      </c>
      <c r="E940" s="1" t="s">
        <v>28</v>
      </c>
      <c r="F940" s="1">
        <v>36</v>
      </c>
      <c r="G940" s="1" t="str" cm="1">
        <f t="array" ref="G940">_xlfn.IFS(F940&lt;=25,"YOUTH",F940&lt;=48,"ADULT",TRUE,"SENIOR")</f>
        <v>ADULT</v>
      </c>
      <c r="H940" s="1" t="s">
        <v>29</v>
      </c>
      <c r="I940" s="1" t="s">
        <v>22</v>
      </c>
      <c r="J940" s="1" t="s">
        <v>23</v>
      </c>
      <c r="K940" s="1" t="s">
        <v>31</v>
      </c>
      <c r="L940" s="1">
        <v>44593</v>
      </c>
      <c r="M940" s="3">
        <f t="shared" si="42"/>
        <v>1.9285538088937727E-2</v>
      </c>
      <c r="N940" s="1">
        <v>860</v>
      </c>
      <c r="O940" s="4">
        <f t="shared" si="43"/>
        <v>31.851851851851851</v>
      </c>
      <c r="P940" s="1">
        <v>27</v>
      </c>
      <c r="Q940" s="1">
        <v>1135.1667855902699</v>
      </c>
      <c r="R940" s="1">
        <v>1696.8863025158601</v>
      </c>
      <c r="S940" s="5">
        <f t="shared" si="44"/>
        <v>1695.8863025158601</v>
      </c>
      <c r="T940" s="1">
        <v>987</v>
      </c>
      <c r="U940" s="1">
        <v>181</v>
      </c>
      <c r="V940" s="1">
        <v>25</v>
      </c>
      <c r="W940" s="1">
        <v>1951</v>
      </c>
      <c r="X940" s="1">
        <v>0.546343621</v>
      </c>
    </row>
    <row r="941" spans="1:24" x14ac:dyDescent="0.3">
      <c r="A941" s="2">
        <v>45315</v>
      </c>
      <c r="B941" s="1" t="s">
        <v>17</v>
      </c>
      <c r="C941" s="1" t="s">
        <v>26</v>
      </c>
      <c r="D941" s="1" t="s">
        <v>32</v>
      </c>
      <c r="E941" s="1" t="s">
        <v>28</v>
      </c>
      <c r="F941" s="1">
        <v>31</v>
      </c>
      <c r="G941" s="1" t="str" cm="1">
        <f t="array" ref="G941">_xlfn.IFS(F941&lt;=25,"YOUTH",F941&lt;=48,"ADULT",TRUE,"SENIOR")</f>
        <v>ADULT</v>
      </c>
      <c r="H941" s="1" t="s">
        <v>21</v>
      </c>
      <c r="I941" s="1" t="s">
        <v>43</v>
      </c>
      <c r="J941" s="1" t="s">
        <v>23</v>
      </c>
      <c r="K941" s="1" t="s">
        <v>31</v>
      </c>
      <c r="L941" s="1">
        <v>33430</v>
      </c>
      <c r="M941" s="3">
        <f t="shared" si="42"/>
        <v>1.0200418785521987E-2</v>
      </c>
      <c r="N941" s="1">
        <v>341</v>
      </c>
      <c r="O941" s="4">
        <f t="shared" si="43"/>
        <v>6.4339622641509431</v>
      </c>
      <c r="P941" s="1">
        <v>53</v>
      </c>
      <c r="Q941" s="1">
        <v>1436.7676701356099</v>
      </c>
      <c r="R941" s="1">
        <v>3177.1867315345899</v>
      </c>
      <c r="S941" s="5">
        <f t="shared" si="44"/>
        <v>3176.1867315345899</v>
      </c>
      <c r="T941" s="1">
        <v>267</v>
      </c>
      <c r="U941" s="1">
        <v>27</v>
      </c>
      <c r="V941" s="1">
        <v>19</v>
      </c>
      <c r="W941" s="1">
        <v>3713</v>
      </c>
      <c r="X941" s="1">
        <v>0.72478039500000002</v>
      </c>
    </row>
    <row r="942" spans="1:24" x14ac:dyDescent="0.3">
      <c r="A942" s="2">
        <v>45318</v>
      </c>
      <c r="B942" s="1" t="s">
        <v>40</v>
      </c>
      <c r="C942" s="1" t="s">
        <v>41</v>
      </c>
      <c r="D942" s="1" t="s">
        <v>36</v>
      </c>
      <c r="E942" s="1" t="s">
        <v>20</v>
      </c>
      <c r="F942" s="1">
        <v>43</v>
      </c>
      <c r="G942" s="1" t="str" cm="1">
        <f t="array" ref="G942">_xlfn.IFS(F942&lt;=25,"YOUTH",F942&lt;=48,"ADULT",TRUE,"SENIOR")</f>
        <v>ADULT</v>
      </c>
      <c r="H942" s="1" t="s">
        <v>21</v>
      </c>
      <c r="I942" s="1" t="s">
        <v>22</v>
      </c>
      <c r="J942" s="1" t="s">
        <v>23</v>
      </c>
      <c r="K942" s="1" t="s">
        <v>24</v>
      </c>
      <c r="L942" s="1">
        <v>42961</v>
      </c>
      <c r="M942" s="3">
        <f t="shared" si="42"/>
        <v>8.3238285887200017E-2</v>
      </c>
      <c r="N942" s="1">
        <v>3576</v>
      </c>
      <c r="O942" s="4">
        <f t="shared" si="43"/>
        <v>25.183098591549296</v>
      </c>
      <c r="P942" s="1">
        <v>142</v>
      </c>
      <c r="Q942" s="1">
        <v>5690.15078979183</v>
      </c>
      <c r="R942" s="1">
        <v>3450.80323565146</v>
      </c>
      <c r="S942" s="5">
        <f t="shared" si="44"/>
        <v>3449.80323565146</v>
      </c>
      <c r="T942" s="1">
        <v>346</v>
      </c>
      <c r="U942" s="1">
        <v>66</v>
      </c>
      <c r="V942" s="1">
        <v>18</v>
      </c>
      <c r="W942" s="1">
        <v>3337</v>
      </c>
      <c r="X942" s="1">
        <v>0.48342022729884998</v>
      </c>
    </row>
    <row r="943" spans="1:24" x14ac:dyDescent="0.3">
      <c r="A943" s="2">
        <v>45329</v>
      </c>
      <c r="B943" s="1" t="s">
        <v>40</v>
      </c>
      <c r="C943" s="1" t="s">
        <v>35</v>
      </c>
      <c r="D943" s="1" t="s">
        <v>19</v>
      </c>
      <c r="E943" s="1" t="s">
        <v>20</v>
      </c>
      <c r="F943" s="1">
        <v>21</v>
      </c>
      <c r="G943" s="1" t="str" cm="1">
        <f t="array" ref="G943">_xlfn.IFS(F943&lt;=25,"YOUTH",F943&lt;=48,"ADULT",TRUE,"SENIOR")</f>
        <v>YOUTH</v>
      </c>
      <c r="H943" s="1" t="s">
        <v>21</v>
      </c>
      <c r="I943" s="1" t="s">
        <v>22</v>
      </c>
      <c r="J943" s="1" t="s">
        <v>38</v>
      </c>
      <c r="K943" s="1" t="s">
        <v>39</v>
      </c>
      <c r="L943" s="1">
        <v>18430</v>
      </c>
      <c r="M943" s="3">
        <f t="shared" si="42"/>
        <v>5.8166033640803042E-2</v>
      </c>
      <c r="N943" s="1">
        <v>1072</v>
      </c>
      <c r="O943" s="4">
        <f t="shared" si="43"/>
        <v>5.5257731958762886</v>
      </c>
      <c r="P943" s="1">
        <v>194</v>
      </c>
      <c r="Q943" s="1">
        <v>1717.25169396823</v>
      </c>
      <c r="R943" s="1">
        <v>10950.6685013673</v>
      </c>
      <c r="S943" s="5">
        <f t="shared" si="44"/>
        <v>10949.6685013673</v>
      </c>
      <c r="T943" s="1">
        <v>352</v>
      </c>
      <c r="U943" s="1">
        <v>51</v>
      </c>
      <c r="V943" s="1">
        <v>27</v>
      </c>
      <c r="W943" s="1">
        <v>619</v>
      </c>
      <c r="X943" s="1">
        <v>0.53541262267982903</v>
      </c>
    </row>
    <row r="944" spans="1:24" x14ac:dyDescent="0.3">
      <c r="A944" s="2">
        <v>45299</v>
      </c>
      <c r="B944" s="1" t="s">
        <v>25</v>
      </c>
      <c r="C944" s="1" t="s">
        <v>41</v>
      </c>
      <c r="D944" s="1" t="s">
        <v>27</v>
      </c>
      <c r="E944" s="1" t="s">
        <v>20</v>
      </c>
      <c r="F944" s="1">
        <v>42</v>
      </c>
      <c r="G944" s="1" t="str" cm="1">
        <f t="array" ref="G944">_xlfn.IFS(F944&lt;=25,"YOUTH",F944&lt;=48,"ADULT",TRUE,"SENIOR")</f>
        <v>ADULT</v>
      </c>
      <c r="H944" s="1" t="s">
        <v>29</v>
      </c>
      <c r="I944" s="1" t="s">
        <v>37</v>
      </c>
      <c r="J944" s="1" t="s">
        <v>38</v>
      </c>
      <c r="K944" s="1" t="s">
        <v>31</v>
      </c>
      <c r="L944" s="1">
        <v>3176</v>
      </c>
      <c r="M944" s="3">
        <f t="shared" si="42"/>
        <v>0.14955919395465994</v>
      </c>
      <c r="N944" s="1">
        <v>475</v>
      </c>
      <c r="O944" s="4">
        <f t="shared" si="43"/>
        <v>31.666666666666668</v>
      </c>
      <c r="P944" s="1">
        <v>15</v>
      </c>
      <c r="Q944" s="1">
        <v>455.89781458306101</v>
      </c>
      <c r="R944" s="1">
        <v>172.003660320813</v>
      </c>
      <c r="S944" s="5">
        <f t="shared" si="44"/>
        <v>171.003660320813</v>
      </c>
      <c r="T944" s="1">
        <v>37</v>
      </c>
      <c r="U944" s="1">
        <v>6</v>
      </c>
      <c r="V944" s="1">
        <v>1</v>
      </c>
      <c r="W944" s="1">
        <v>61</v>
      </c>
      <c r="X944" s="1">
        <v>0.56148669078561197</v>
      </c>
    </row>
    <row r="945" spans="1:24" x14ac:dyDescent="0.3">
      <c r="A945" s="2">
        <v>45292</v>
      </c>
      <c r="B945" s="1" t="s">
        <v>17</v>
      </c>
      <c r="C945" s="1" t="s">
        <v>35</v>
      </c>
      <c r="D945" s="1" t="s">
        <v>36</v>
      </c>
      <c r="E945" s="1" t="s">
        <v>28</v>
      </c>
      <c r="F945" s="1">
        <v>59</v>
      </c>
      <c r="G945" s="1" t="str" cm="1">
        <f t="array" ref="G945">_xlfn.IFS(F945&lt;=25,"YOUTH",F945&lt;=48,"ADULT",TRUE,"SENIOR")</f>
        <v>SENIOR</v>
      </c>
      <c r="H945" s="1" t="s">
        <v>29</v>
      </c>
      <c r="I945" s="1" t="s">
        <v>37</v>
      </c>
      <c r="J945" s="1" t="s">
        <v>23</v>
      </c>
      <c r="K945" s="1" t="s">
        <v>31</v>
      </c>
      <c r="L945" s="1">
        <v>19722</v>
      </c>
      <c r="M945" s="3">
        <f t="shared" si="42"/>
        <v>0.11809147145319947</v>
      </c>
      <c r="N945" s="1">
        <v>2329</v>
      </c>
      <c r="O945" s="4">
        <f t="shared" si="43"/>
        <v>29.858974358974358</v>
      </c>
      <c r="P945" s="1">
        <v>78</v>
      </c>
      <c r="Q945" s="1">
        <v>580.12067105099504</v>
      </c>
      <c r="R945" s="1">
        <v>4561.4131528195603</v>
      </c>
      <c r="S945" s="5">
        <f t="shared" si="44"/>
        <v>4560.4131528195603</v>
      </c>
      <c r="T945" s="1">
        <v>292</v>
      </c>
      <c r="U945" s="1">
        <v>45</v>
      </c>
      <c r="V945" s="1">
        <v>20</v>
      </c>
      <c r="W945" s="1">
        <v>2280</v>
      </c>
      <c r="X945" s="1">
        <v>0.73434992118381703</v>
      </c>
    </row>
    <row r="946" spans="1:24" x14ac:dyDescent="0.3">
      <c r="A946" s="2">
        <v>45345</v>
      </c>
      <c r="B946" s="1" t="s">
        <v>40</v>
      </c>
      <c r="C946" s="1" t="s">
        <v>18</v>
      </c>
      <c r="D946" s="1" t="s">
        <v>27</v>
      </c>
      <c r="E946" s="1" t="s">
        <v>20</v>
      </c>
      <c r="F946" s="1">
        <v>42</v>
      </c>
      <c r="G946" s="1" t="str" cm="1">
        <f t="array" ref="G946">_xlfn.IFS(F946&lt;=25,"YOUTH",F946&lt;=48,"ADULT",TRUE,"SENIOR")</f>
        <v>ADULT</v>
      </c>
      <c r="H946" s="1" t="s">
        <v>29</v>
      </c>
      <c r="I946" s="1" t="s">
        <v>22</v>
      </c>
      <c r="J946" s="1" t="s">
        <v>38</v>
      </c>
      <c r="K946" s="1" t="s">
        <v>39</v>
      </c>
      <c r="L946" s="1">
        <v>43815</v>
      </c>
      <c r="M946" s="3">
        <f t="shared" si="42"/>
        <v>0.11655825630491841</v>
      </c>
      <c r="N946" s="1">
        <v>5107</v>
      </c>
      <c r="O946" s="4">
        <f t="shared" si="43"/>
        <v>11.102173913043478</v>
      </c>
      <c r="P946" s="1">
        <v>460</v>
      </c>
      <c r="Q946" s="1">
        <v>2558.0897859381998</v>
      </c>
      <c r="R946" s="1">
        <v>22496.122978895099</v>
      </c>
      <c r="S946" s="5">
        <f t="shared" si="44"/>
        <v>22495.122978895099</v>
      </c>
      <c r="T946" s="1">
        <v>658</v>
      </c>
      <c r="U946" s="1">
        <v>53</v>
      </c>
      <c r="V946" s="1">
        <v>36</v>
      </c>
      <c r="W946" s="1">
        <v>610</v>
      </c>
      <c r="X946" s="1">
        <v>0.60529022745906103</v>
      </c>
    </row>
    <row r="947" spans="1:24" x14ac:dyDescent="0.3">
      <c r="A947" s="2">
        <v>45340</v>
      </c>
      <c r="B947" s="1" t="s">
        <v>34</v>
      </c>
      <c r="C947" s="1" t="s">
        <v>35</v>
      </c>
      <c r="D947" s="1" t="s">
        <v>32</v>
      </c>
      <c r="E947" s="1" t="s">
        <v>28</v>
      </c>
      <c r="F947" s="1">
        <v>35</v>
      </c>
      <c r="G947" s="1" t="str" cm="1">
        <f t="array" ref="G947">_xlfn.IFS(F947&lt;=25,"YOUTH",F947&lt;=48,"ADULT",TRUE,"SENIOR")</f>
        <v>ADULT</v>
      </c>
      <c r="H947" s="1" t="s">
        <v>29</v>
      </c>
      <c r="I947" s="1" t="s">
        <v>43</v>
      </c>
      <c r="J947" s="1" t="s">
        <v>23</v>
      </c>
      <c r="K947" s="1" t="s">
        <v>39</v>
      </c>
      <c r="L947" s="1">
        <v>19617</v>
      </c>
      <c r="M947" s="3">
        <f t="shared" si="42"/>
        <v>0.14370189121680174</v>
      </c>
      <c r="N947" s="1">
        <v>2819</v>
      </c>
      <c r="O947" s="4">
        <f t="shared" si="43"/>
        <v>4.4254317111459969</v>
      </c>
      <c r="P947" s="1">
        <v>637</v>
      </c>
      <c r="Q947" s="1">
        <v>885.91624586929004</v>
      </c>
      <c r="R947" s="1">
        <v>6823.1054322370801</v>
      </c>
      <c r="S947" s="5">
        <f t="shared" si="44"/>
        <v>6822.1054322370801</v>
      </c>
      <c r="T947" s="1">
        <v>185</v>
      </c>
      <c r="U947" s="1">
        <v>11</v>
      </c>
      <c r="V947" s="1">
        <v>4</v>
      </c>
      <c r="W947" s="1">
        <v>581</v>
      </c>
      <c r="X947" s="1">
        <v>0.67818081506602701</v>
      </c>
    </row>
    <row r="948" spans="1:24" x14ac:dyDescent="0.3">
      <c r="A948" s="2">
        <v>45340</v>
      </c>
      <c r="B948" s="1" t="s">
        <v>40</v>
      </c>
      <c r="C948" s="1" t="s">
        <v>35</v>
      </c>
      <c r="D948" s="1" t="s">
        <v>36</v>
      </c>
      <c r="E948" s="1" t="s">
        <v>28</v>
      </c>
      <c r="F948" s="1">
        <v>57</v>
      </c>
      <c r="G948" s="1" t="str" cm="1">
        <f t="array" ref="G948">_xlfn.IFS(F948&lt;=25,"YOUTH",F948&lt;=48,"ADULT",TRUE,"SENIOR")</f>
        <v>SENIOR</v>
      </c>
      <c r="H948" s="1" t="s">
        <v>21</v>
      </c>
      <c r="I948" s="1" t="s">
        <v>37</v>
      </c>
      <c r="J948" s="1" t="s">
        <v>23</v>
      </c>
      <c r="K948" s="1" t="s">
        <v>31</v>
      </c>
      <c r="L948" s="1">
        <v>28115</v>
      </c>
      <c r="M948" s="3">
        <f t="shared" si="42"/>
        <v>0.13426996265338786</v>
      </c>
      <c r="N948" s="1">
        <v>3775</v>
      </c>
      <c r="O948" s="4">
        <f t="shared" si="43"/>
        <v>5.9731012658227849</v>
      </c>
      <c r="P948" s="1">
        <v>632</v>
      </c>
      <c r="Q948" s="1">
        <v>2586.5585760814101</v>
      </c>
      <c r="R948" s="1">
        <v>31220.9335263174</v>
      </c>
      <c r="S948" s="5">
        <f t="shared" si="44"/>
        <v>31219.9335263174</v>
      </c>
      <c r="T948" s="1">
        <v>141</v>
      </c>
      <c r="U948" s="1">
        <v>22</v>
      </c>
      <c r="V948" s="1">
        <v>8</v>
      </c>
      <c r="W948" s="1">
        <v>2137</v>
      </c>
      <c r="X948" s="1">
        <v>0.75774104507162199</v>
      </c>
    </row>
    <row r="949" spans="1:24" x14ac:dyDescent="0.3">
      <c r="A949" s="2">
        <v>45315</v>
      </c>
      <c r="B949" s="1" t="s">
        <v>25</v>
      </c>
      <c r="C949" s="1" t="s">
        <v>18</v>
      </c>
      <c r="D949" s="1" t="s">
        <v>27</v>
      </c>
      <c r="E949" s="1" t="s">
        <v>28</v>
      </c>
      <c r="F949" s="1">
        <v>25</v>
      </c>
      <c r="G949" s="1" t="str" cm="1">
        <f t="array" ref="G949">_xlfn.IFS(F949&lt;=25,"YOUTH",F949&lt;=48,"ADULT",TRUE,"SENIOR")</f>
        <v>YOUTH</v>
      </c>
      <c r="H949" s="1" t="s">
        <v>29</v>
      </c>
      <c r="I949" s="1" t="s">
        <v>22</v>
      </c>
      <c r="J949" s="1" t="s">
        <v>23</v>
      </c>
      <c r="K949" s="1" t="s">
        <v>24</v>
      </c>
      <c r="L949" s="1">
        <v>38376</v>
      </c>
      <c r="M949" s="3">
        <f t="shared" si="42"/>
        <v>5.4539295392953928E-2</v>
      </c>
      <c r="N949" s="1">
        <v>2093</v>
      </c>
      <c r="O949" s="4">
        <f t="shared" si="43"/>
        <v>5.0800970873786406</v>
      </c>
      <c r="P949" s="1">
        <v>412</v>
      </c>
      <c r="Q949" s="1">
        <v>2677.2274991179302</v>
      </c>
      <c r="R949" s="1">
        <v>17606.3062293931</v>
      </c>
      <c r="S949" s="5">
        <f t="shared" si="44"/>
        <v>17605.3062293931</v>
      </c>
      <c r="T949" s="1">
        <v>1010</v>
      </c>
      <c r="U949" s="1">
        <v>127</v>
      </c>
      <c r="V949" s="1">
        <v>26</v>
      </c>
      <c r="W949" s="1">
        <v>701</v>
      </c>
      <c r="X949" s="1">
        <v>0.92594938044422703</v>
      </c>
    </row>
    <row r="950" spans="1:24" x14ac:dyDescent="0.3">
      <c r="A950" s="2">
        <v>45338</v>
      </c>
      <c r="B950" s="1" t="s">
        <v>25</v>
      </c>
      <c r="C950" s="1" t="s">
        <v>18</v>
      </c>
      <c r="D950" s="1" t="s">
        <v>36</v>
      </c>
      <c r="E950" s="1" t="s">
        <v>28</v>
      </c>
      <c r="F950" s="1">
        <v>56</v>
      </c>
      <c r="G950" s="1" t="str" cm="1">
        <f t="array" ref="G950">_xlfn.IFS(F950&lt;=25,"YOUTH",F950&lt;=48,"ADULT",TRUE,"SENIOR")</f>
        <v>SENIOR</v>
      </c>
      <c r="H950" s="1" t="s">
        <v>29</v>
      </c>
      <c r="I950" s="1" t="s">
        <v>22</v>
      </c>
      <c r="J950" s="1" t="s">
        <v>23</v>
      </c>
      <c r="K950" s="1" t="s">
        <v>39</v>
      </c>
      <c r="L950" s="1">
        <v>12906</v>
      </c>
      <c r="M950" s="3">
        <f t="shared" si="42"/>
        <v>3.3162869982953667E-2</v>
      </c>
      <c r="N950" s="1">
        <v>428</v>
      </c>
      <c r="O950" s="4">
        <f t="shared" si="43"/>
        <v>19.454545454545453</v>
      </c>
      <c r="P950" s="1">
        <v>22</v>
      </c>
      <c r="Q950" s="1">
        <v>521.99039000269102</v>
      </c>
      <c r="R950" s="1">
        <v>960.206644637414</v>
      </c>
      <c r="S950" s="5">
        <f t="shared" si="44"/>
        <v>959.206644637414</v>
      </c>
      <c r="T950" s="1">
        <v>295</v>
      </c>
      <c r="U950" s="1">
        <v>45</v>
      </c>
      <c r="V950" s="1">
        <v>25</v>
      </c>
      <c r="W950" s="1">
        <v>1111</v>
      </c>
      <c r="X950" s="1">
        <v>0.82066056840651302</v>
      </c>
    </row>
    <row r="951" spans="1:24" x14ac:dyDescent="0.3">
      <c r="A951" s="2">
        <v>45298</v>
      </c>
      <c r="B951" s="1" t="s">
        <v>17</v>
      </c>
      <c r="C951" s="1" t="s">
        <v>18</v>
      </c>
      <c r="D951" s="1" t="s">
        <v>32</v>
      </c>
      <c r="E951" s="1" t="s">
        <v>28</v>
      </c>
      <c r="F951" s="1">
        <v>57</v>
      </c>
      <c r="G951" s="1" t="str" cm="1">
        <f t="array" ref="G951">_xlfn.IFS(F951&lt;=25,"YOUTH",F951&lt;=48,"ADULT",TRUE,"SENIOR")</f>
        <v>SENIOR</v>
      </c>
      <c r="H951" s="1" t="s">
        <v>21</v>
      </c>
      <c r="I951" s="1" t="s">
        <v>22</v>
      </c>
      <c r="J951" s="1" t="s">
        <v>38</v>
      </c>
      <c r="K951" s="1" t="s">
        <v>31</v>
      </c>
      <c r="L951" s="1">
        <v>41002</v>
      </c>
      <c r="M951" s="3">
        <f t="shared" si="42"/>
        <v>0.11440905321691625</v>
      </c>
      <c r="N951" s="1">
        <v>4691</v>
      </c>
      <c r="O951" s="4">
        <f t="shared" si="43"/>
        <v>4.7240684793554886</v>
      </c>
      <c r="P951" s="1">
        <v>993</v>
      </c>
      <c r="Q951" s="1">
        <v>4246.0748169020098</v>
      </c>
      <c r="R951" s="1">
        <v>23738.8126929463</v>
      </c>
      <c r="S951" s="5">
        <f t="shared" si="44"/>
        <v>23737.8126929463</v>
      </c>
      <c r="T951" s="1">
        <v>912</v>
      </c>
      <c r="U951" s="1">
        <v>110</v>
      </c>
      <c r="V951" s="1">
        <v>64</v>
      </c>
      <c r="W951" s="1">
        <v>1425</v>
      </c>
      <c r="X951" s="1">
        <v>0.62289122931465901</v>
      </c>
    </row>
    <row r="952" spans="1:24" x14ac:dyDescent="0.3">
      <c r="A952" s="2">
        <v>45310</v>
      </c>
      <c r="B952" s="1" t="s">
        <v>25</v>
      </c>
      <c r="C952" s="1" t="s">
        <v>41</v>
      </c>
      <c r="D952" s="1" t="s">
        <v>36</v>
      </c>
      <c r="E952" s="1" t="s">
        <v>20</v>
      </c>
      <c r="F952" s="1">
        <v>31</v>
      </c>
      <c r="G952" s="1" t="str" cm="1">
        <f t="array" ref="G952">_xlfn.IFS(F952&lt;=25,"YOUTH",F952&lt;=48,"ADULT",TRUE,"SENIOR")</f>
        <v>ADULT</v>
      </c>
      <c r="H952" s="1" t="s">
        <v>21</v>
      </c>
      <c r="I952" s="1" t="s">
        <v>22</v>
      </c>
      <c r="J952" s="1" t="s">
        <v>38</v>
      </c>
      <c r="K952" s="1" t="s">
        <v>24</v>
      </c>
      <c r="L952" s="1">
        <v>7610</v>
      </c>
      <c r="M952" s="3">
        <f t="shared" si="42"/>
        <v>6.2943495400788432E-2</v>
      </c>
      <c r="N952" s="1">
        <v>479</v>
      </c>
      <c r="O952" s="4">
        <f t="shared" si="43"/>
        <v>47.9</v>
      </c>
      <c r="P952" s="1">
        <v>10</v>
      </c>
      <c r="Q952" s="1">
        <v>682.759973283156</v>
      </c>
      <c r="R952" s="1">
        <v>223.223180008349</v>
      </c>
      <c r="S952" s="5">
        <f t="shared" si="44"/>
        <v>222.223180008349</v>
      </c>
      <c r="T952" s="1">
        <v>142</v>
      </c>
      <c r="U952" s="1">
        <v>13</v>
      </c>
      <c r="V952" s="1">
        <v>9</v>
      </c>
      <c r="W952" s="1">
        <v>581</v>
      </c>
      <c r="X952" s="1">
        <v>0.81155145591849098</v>
      </c>
    </row>
    <row r="953" spans="1:24" x14ac:dyDescent="0.3">
      <c r="A953" s="2">
        <v>45313</v>
      </c>
      <c r="B953" s="1" t="s">
        <v>40</v>
      </c>
      <c r="C953" s="1" t="s">
        <v>18</v>
      </c>
      <c r="D953" s="1" t="s">
        <v>27</v>
      </c>
      <c r="E953" s="1" t="s">
        <v>20</v>
      </c>
      <c r="F953" s="1">
        <v>49</v>
      </c>
      <c r="G953" s="1" t="str" cm="1">
        <f t="array" ref="G953">_xlfn.IFS(F953&lt;=25,"YOUTH",F953&lt;=48,"ADULT",TRUE,"SENIOR")</f>
        <v>SENIOR</v>
      </c>
      <c r="H953" s="1" t="s">
        <v>21</v>
      </c>
      <c r="I953" s="1" t="s">
        <v>22</v>
      </c>
      <c r="J953" s="1" t="s">
        <v>23</v>
      </c>
      <c r="K953" s="1" t="s">
        <v>31</v>
      </c>
      <c r="L953" s="1">
        <v>44292</v>
      </c>
      <c r="M953" s="3">
        <f t="shared" si="42"/>
        <v>7.6244016978235352E-2</v>
      </c>
      <c r="N953" s="1">
        <v>3377</v>
      </c>
      <c r="O953" s="4">
        <f t="shared" si="43"/>
        <v>14.493562231759658</v>
      </c>
      <c r="P953" s="1">
        <v>233</v>
      </c>
      <c r="Q953" s="1">
        <v>2467.7603455140402</v>
      </c>
      <c r="R953" s="1">
        <v>12713.594272058101</v>
      </c>
      <c r="S953" s="5">
        <f t="shared" si="44"/>
        <v>12712.594272058101</v>
      </c>
      <c r="T953" s="1">
        <v>997</v>
      </c>
      <c r="U953" s="1">
        <v>92</v>
      </c>
      <c r="V953" s="1">
        <v>30</v>
      </c>
      <c r="W953" s="1">
        <v>7100</v>
      </c>
      <c r="X953" s="1">
        <v>0.92233179950556599</v>
      </c>
    </row>
    <row r="954" spans="1:24" x14ac:dyDescent="0.3">
      <c r="A954" s="2">
        <v>45348</v>
      </c>
      <c r="B954" s="1" t="s">
        <v>40</v>
      </c>
      <c r="C954" s="1" t="s">
        <v>26</v>
      </c>
      <c r="D954" s="1" t="s">
        <v>32</v>
      </c>
      <c r="E954" s="1" t="s">
        <v>28</v>
      </c>
      <c r="F954" s="1">
        <v>55</v>
      </c>
      <c r="G954" s="1" t="str" cm="1">
        <f t="array" ref="G954">_xlfn.IFS(F954&lt;=25,"YOUTH",F954&lt;=48,"ADULT",TRUE,"SENIOR")</f>
        <v>SENIOR</v>
      </c>
      <c r="H954" s="1" t="s">
        <v>29</v>
      </c>
      <c r="I954" s="1" t="s">
        <v>22</v>
      </c>
      <c r="J954" s="1" t="s">
        <v>23</v>
      </c>
      <c r="K954" s="1" t="s">
        <v>24</v>
      </c>
      <c r="L954" s="1">
        <v>14411</v>
      </c>
      <c r="M954" s="3">
        <f t="shared" si="42"/>
        <v>9.818888349177711E-2</v>
      </c>
      <c r="N954" s="1">
        <v>1415</v>
      </c>
      <c r="O954" s="4">
        <f t="shared" si="43"/>
        <v>6.2061403508771926</v>
      </c>
      <c r="P954" s="1">
        <v>228</v>
      </c>
      <c r="Q954" s="1">
        <v>1187.038055</v>
      </c>
      <c r="R954" s="1">
        <v>4945.9757886754796</v>
      </c>
      <c r="S954" s="5">
        <f t="shared" si="44"/>
        <v>4944.9757886754796</v>
      </c>
      <c r="T954" s="1">
        <v>409</v>
      </c>
      <c r="U954" s="1">
        <v>65</v>
      </c>
      <c r="V954" s="1">
        <v>17</v>
      </c>
      <c r="W954" s="1">
        <v>1859</v>
      </c>
      <c r="X954" s="1">
        <v>0.67465930010976805</v>
      </c>
    </row>
    <row r="955" spans="1:24" x14ac:dyDescent="0.3">
      <c r="A955" s="2">
        <v>45346</v>
      </c>
      <c r="B955" s="1" t="s">
        <v>40</v>
      </c>
      <c r="C955" s="1" t="s">
        <v>18</v>
      </c>
      <c r="D955" s="1" t="s">
        <v>19</v>
      </c>
      <c r="E955" s="1" t="s">
        <v>20</v>
      </c>
      <c r="F955" s="1">
        <v>50</v>
      </c>
      <c r="G955" s="1" t="str" cm="1">
        <f t="array" ref="G955">_xlfn.IFS(F955&lt;=25,"YOUTH",F955&lt;=48,"ADULT",TRUE,"SENIOR")</f>
        <v>SENIOR</v>
      </c>
      <c r="H955" s="1" t="s">
        <v>29</v>
      </c>
      <c r="I955" s="1" t="s">
        <v>37</v>
      </c>
      <c r="J955" s="1" t="s">
        <v>23</v>
      </c>
      <c r="K955" s="1" t="s">
        <v>24</v>
      </c>
      <c r="L955" s="1">
        <v>10180</v>
      </c>
      <c r="M955" s="3">
        <f t="shared" si="42"/>
        <v>0.13703339882121807</v>
      </c>
      <c r="N955" s="1">
        <v>1395</v>
      </c>
      <c r="O955" s="4">
        <f t="shared" si="43"/>
        <v>9.4256756756756754</v>
      </c>
      <c r="P955" s="1">
        <v>148</v>
      </c>
      <c r="Q955" s="1">
        <v>1190.51008612551</v>
      </c>
      <c r="R955" s="1">
        <v>5033.0428624112201</v>
      </c>
      <c r="S955" s="5">
        <f t="shared" si="44"/>
        <v>5032.0428624112201</v>
      </c>
      <c r="T955" s="1">
        <v>220</v>
      </c>
      <c r="U955" s="1">
        <v>20</v>
      </c>
      <c r="V955" s="1">
        <v>13</v>
      </c>
      <c r="W955" s="1">
        <v>963</v>
      </c>
      <c r="X955" s="1">
        <v>0.625773313217589</v>
      </c>
    </row>
    <row r="956" spans="1:24" x14ac:dyDescent="0.3">
      <c r="A956" s="2">
        <v>45351</v>
      </c>
      <c r="B956" s="1" t="s">
        <v>40</v>
      </c>
      <c r="C956" s="1" t="s">
        <v>18</v>
      </c>
      <c r="D956" s="1" t="s">
        <v>27</v>
      </c>
      <c r="E956" s="1" t="s">
        <v>20</v>
      </c>
      <c r="F956" s="1">
        <v>40</v>
      </c>
      <c r="G956" s="1" t="str" cm="1">
        <f t="array" ref="G956">_xlfn.IFS(F956&lt;=25,"YOUTH",F956&lt;=48,"ADULT",TRUE,"SENIOR")</f>
        <v>ADULT</v>
      </c>
      <c r="H956" s="1" t="s">
        <v>29</v>
      </c>
      <c r="I956" s="1" t="s">
        <v>43</v>
      </c>
      <c r="J956" s="1" t="s">
        <v>23</v>
      </c>
      <c r="K956" s="1" t="s">
        <v>39</v>
      </c>
      <c r="L956" s="1">
        <v>48993</v>
      </c>
      <c r="M956" s="3">
        <f t="shared" si="42"/>
        <v>6.8662870205947787E-2</v>
      </c>
      <c r="N956" s="1">
        <v>3364</v>
      </c>
      <c r="O956" s="4">
        <f t="shared" si="43"/>
        <v>4.06280193236715</v>
      </c>
      <c r="P956" s="1">
        <v>828</v>
      </c>
      <c r="Q956" s="1">
        <v>2287.2537696638501</v>
      </c>
      <c r="R956" s="1">
        <v>41533.543904586499</v>
      </c>
      <c r="S956" s="5">
        <f t="shared" si="44"/>
        <v>41532.543904586499</v>
      </c>
      <c r="T956" s="1">
        <v>569</v>
      </c>
      <c r="U956" s="1">
        <v>89</v>
      </c>
      <c r="V956" s="1">
        <v>40</v>
      </c>
      <c r="W956" s="1">
        <v>1344</v>
      </c>
      <c r="X956" s="1">
        <v>0.44291028445040498</v>
      </c>
    </row>
    <row r="957" spans="1:24" x14ac:dyDescent="0.3">
      <c r="A957" s="2">
        <v>45326</v>
      </c>
      <c r="B957" s="1" t="s">
        <v>17</v>
      </c>
      <c r="C957" s="1" t="s">
        <v>18</v>
      </c>
      <c r="D957" s="1" t="s">
        <v>27</v>
      </c>
      <c r="E957" s="1" t="s">
        <v>28</v>
      </c>
      <c r="F957" s="1">
        <v>32</v>
      </c>
      <c r="G957" s="1" t="str" cm="1">
        <f t="array" ref="G957">_xlfn.IFS(F957&lt;=25,"YOUTH",F957&lt;=48,"ADULT",TRUE,"SENIOR")</f>
        <v>ADULT</v>
      </c>
      <c r="H957" s="1" t="s">
        <v>29</v>
      </c>
      <c r="I957" s="1" t="s">
        <v>22</v>
      </c>
      <c r="J957" s="1" t="s">
        <v>23</v>
      </c>
      <c r="K957" s="1" t="s">
        <v>39</v>
      </c>
      <c r="L957" s="1">
        <v>11073</v>
      </c>
      <c r="M957" s="3">
        <f t="shared" si="42"/>
        <v>0.11966043529305517</v>
      </c>
      <c r="N957" s="1">
        <v>1325</v>
      </c>
      <c r="O957" s="4">
        <f t="shared" si="43"/>
        <v>37.857142857142854</v>
      </c>
      <c r="P957" s="1">
        <v>35</v>
      </c>
      <c r="Q957" s="1">
        <v>643.094893319672</v>
      </c>
      <c r="R957" s="1">
        <v>356.12697176991998</v>
      </c>
      <c r="S957" s="5">
        <f t="shared" si="44"/>
        <v>355.12697176991998</v>
      </c>
      <c r="T957" s="1">
        <v>213</v>
      </c>
      <c r="U957" s="1">
        <v>22</v>
      </c>
      <c r="V957" s="1">
        <v>7</v>
      </c>
      <c r="W957" s="1">
        <v>1413</v>
      </c>
      <c r="X957" s="1">
        <v>0.89080370385797403</v>
      </c>
    </row>
    <row r="958" spans="1:24" x14ac:dyDescent="0.3">
      <c r="A958" s="2">
        <v>45321</v>
      </c>
      <c r="B958" s="1" t="s">
        <v>34</v>
      </c>
      <c r="C958" s="1" t="s">
        <v>35</v>
      </c>
      <c r="D958" s="1" t="s">
        <v>32</v>
      </c>
      <c r="E958" s="1" t="s">
        <v>28</v>
      </c>
      <c r="F958" s="1">
        <v>50</v>
      </c>
      <c r="G958" s="1" t="str" cm="1">
        <f t="array" ref="G958">_xlfn.IFS(F958&lt;=25,"YOUTH",F958&lt;=48,"ADULT",TRUE,"SENIOR")</f>
        <v>SENIOR</v>
      </c>
      <c r="H958" s="1" t="s">
        <v>21</v>
      </c>
      <c r="I958" s="1" t="s">
        <v>33</v>
      </c>
      <c r="J958" s="1" t="s">
        <v>23</v>
      </c>
      <c r="K958" s="1" t="s">
        <v>31</v>
      </c>
      <c r="L958" s="1">
        <v>38251</v>
      </c>
      <c r="M958" s="3">
        <f t="shared" si="42"/>
        <v>4.7554312305560641E-2</v>
      </c>
      <c r="N958" s="1">
        <v>1819</v>
      </c>
      <c r="O958" s="4">
        <f t="shared" si="43"/>
        <v>4.0066079295154182</v>
      </c>
      <c r="P958" s="1">
        <v>454</v>
      </c>
      <c r="Q958" s="1">
        <v>2486.1018777538002</v>
      </c>
      <c r="R958" s="1">
        <v>19815.122770869999</v>
      </c>
      <c r="S958" s="5">
        <f t="shared" si="44"/>
        <v>19814.122770869999</v>
      </c>
      <c r="T958" s="1">
        <v>614</v>
      </c>
      <c r="U958" s="1">
        <v>101</v>
      </c>
      <c r="V958" s="1">
        <v>12</v>
      </c>
      <c r="W958" s="1">
        <v>1572</v>
      </c>
      <c r="X958" s="1">
        <v>0.53553885443650995</v>
      </c>
    </row>
    <row r="959" spans="1:24" x14ac:dyDescent="0.3">
      <c r="A959" s="2">
        <v>45320</v>
      </c>
      <c r="B959" s="1" t="s">
        <v>34</v>
      </c>
      <c r="C959" s="1" t="s">
        <v>41</v>
      </c>
      <c r="D959" s="1" t="s">
        <v>32</v>
      </c>
      <c r="E959" s="1" t="s">
        <v>20</v>
      </c>
      <c r="F959" s="1">
        <v>42</v>
      </c>
      <c r="G959" s="1" t="str" cm="1">
        <f t="array" ref="G959">_xlfn.IFS(F959&lt;=25,"YOUTH",F959&lt;=48,"ADULT",TRUE,"SENIOR")</f>
        <v>ADULT</v>
      </c>
      <c r="H959" s="1" t="s">
        <v>21</v>
      </c>
      <c r="I959" s="1" t="s">
        <v>37</v>
      </c>
      <c r="J959" s="1" t="s">
        <v>23</v>
      </c>
      <c r="K959" s="1" t="s">
        <v>24</v>
      </c>
      <c r="L959" s="1">
        <v>31960</v>
      </c>
      <c r="M959" s="3">
        <f t="shared" si="42"/>
        <v>0.10769712140175219</v>
      </c>
      <c r="N959" s="1">
        <v>3442</v>
      </c>
      <c r="O959" s="4">
        <f t="shared" si="43"/>
        <v>6.1245551601423491</v>
      </c>
      <c r="P959" s="1">
        <v>562</v>
      </c>
      <c r="Q959" s="1">
        <v>3741.6990012828401</v>
      </c>
      <c r="R959" s="1">
        <v>24339.9188928357</v>
      </c>
      <c r="S959" s="5">
        <f t="shared" si="44"/>
        <v>24338.9188928357</v>
      </c>
      <c r="T959" s="1">
        <v>604</v>
      </c>
      <c r="U959" s="1">
        <v>43</v>
      </c>
      <c r="V959" s="1">
        <v>28</v>
      </c>
      <c r="W959" s="1">
        <v>784</v>
      </c>
      <c r="X959" s="1">
        <v>0.43517684325052602</v>
      </c>
    </row>
    <row r="960" spans="1:24" x14ac:dyDescent="0.3">
      <c r="A960" s="2">
        <v>45313</v>
      </c>
      <c r="B960" s="1" t="s">
        <v>17</v>
      </c>
      <c r="C960" s="1" t="s">
        <v>18</v>
      </c>
      <c r="D960" s="1" t="s">
        <v>19</v>
      </c>
      <c r="E960" s="1" t="s">
        <v>20</v>
      </c>
      <c r="F960" s="1">
        <v>34</v>
      </c>
      <c r="G960" s="1" t="str" cm="1">
        <f t="array" ref="G960">_xlfn.IFS(F960&lt;=25,"YOUTH",F960&lt;=48,"ADULT",TRUE,"SENIOR")</f>
        <v>ADULT</v>
      </c>
      <c r="H960" s="1" t="s">
        <v>21</v>
      </c>
      <c r="I960" s="1" t="s">
        <v>37</v>
      </c>
      <c r="J960" s="1" t="s">
        <v>23</v>
      </c>
      <c r="K960" s="1" t="s">
        <v>39</v>
      </c>
      <c r="L960" s="1">
        <v>6901</v>
      </c>
      <c r="M960" s="3">
        <f t="shared" si="42"/>
        <v>1.0143457469931894E-2</v>
      </c>
      <c r="N960" s="1">
        <v>70</v>
      </c>
      <c r="O960" s="4">
        <f t="shared" si="43"/>
        <v>7</v>
      </c>
      <c r="P960" s="1">
        <v>10</v>
      </c>
      <c r="Q960" s="1">
        <v>897.81967173510498</v>
      </c>
      <c r="R960" s="1">
        <v>494.74866207721601</v>
      </c>
      <c r="S960" s="5">
        <f t="shared" si="44"/>
        <v>493.74866207721601</v>
      </c>
      <c r="T960" s="1">
        <v>123</v>
      </c>
      <c r="U960" s="1">
        <v>9</v>
      </c>
      <c r="V960" s="1">
        <v>7</v>
      </c>
      <c r="W960" s="1">
        <v>939</v>
      </c>
      <c r="X960" s="1">
        <v>0.69546191762509502</v>
      </c>
    </row>
    <row r="961" spans="1:24" x14ac:dyDescent="0.3">
      <c r="A961" s="2">
        <v>45302</v>
      </c>
      <c r="B961" s="1" t="s">
        <v>25</v>
      </c>
      <c r="C961" s="1" t="s">
        <v>41</v>
      </c>
      <c r="D961" s="1" t="s">
        <v>27</v>
      </c>
      <c r="E961" s="1" t="s">
        <v>20</v>
      </c>
      <c r="F961" s="1">
        <v>50</v>
      </c>
      <c r="G961" s="1" t="str" cm="1">
        <f t="array" ref="G961">_xlfn.IFS(F961&lt;=25,"YOUTH",F961&lt;=48,"ADULT",TRUE,"SENIOR")</f>
        <v>SENIOR</v>
      </c>
      <c r="H961" s="1" t="s">
        <v>21</v>
      </c>
      <c r="I961" s="1" t="s">
        <v>22</v>
      </c>
      <c r="J961" s="1" t="s">
        <v>23</v>
      </c>
      <c r="K961" s="1" t="s">
        <v>39</v>
      </c>
      <c r="L961" s="1">
        <v>39897</v>
      </c>
      <c r="M961" s="3">
        <f t="shared" si="42"/>
        <v>0.1319898739253578</v>
      </c>
      <c r="N961" s="1">
        <v>5266</v>
      </c>
      <c r="O961" s="4">
        <f t="shared" si="43"/>
        <v>29.751412429378529</v>
      </c>
      <c r="P961" s="1">
        <v>177</v>
      </c>
      <c r="Q961" s="1">
        <v>2750.1203395290199</v>
      </c>
      <c r="R961" s="1">
        <v>5141.0227364916</v>
      </c>
      <c r="S961" s="5">
        <f t="shared" si="44"/>
        <v>5140.0227364916</v>
      </c>
      <c r="T961" s="1">
        <v>1056</v>
      </c>
      <c r="U961" s="1">
        <v>161</v>
      </c>
      <c r="V961" s="1">
        <v>36</v>
      </c>
      <c r="W961" s="1">
        <v>7312</v>
      </c>
      <c r="X961" s="1">
        <v>0.86524480527883796</v>
      </c>
    </row>
    <row r="962" spans="1:24" x14ac:dyDescent="0.3">
      <c r="A962" s="2">
        <v>45311</v>
      </c>
      <c r="B962" s="1" t="s">
        <v>34</v>
      </c>
      <c r="C962" s="1" t="s">
        <v>26</v>
      </c>
      <c r="D962" s="1" t="s">
        <v>32</v>
      </c>
      <c r="E962" s="1" t="s">
        <v>20</v>
      </c>
      <c r="F962" s="1">
        <v>19</v>
      </c>
      <c r="G962" s="1" t="str" cm="1">
        <f t="array" ref="G962">_xlfn.IFS(F962&lt;=25,"YOUTH",F962&lt;=48,"ADULT",TRUE,"SENIOR")</f>
        <v>YOUTH</v>
      </c>
      <c r="H962" s="1" t="s">
        <v>29</v>
      </c>
      <c r="I962" s="1" t="s">
        <v>37</v>
      </c>
      <c r="J962" s="1" t="s">
        <v>23</v>
      </c>
      <c r="K962" s="1" t="s">
        <v>24</v>
      </c>
      <c r="L962" s="1">
        <v>44183</v>
      </c>
      <c r="M962" s="3">
        <f t="shared" si="42"/>
        <v>1.4236244709503656E-2</v>
      </c>
      <c r="N962" s="1">
        <v>629</v>
      </c>
      <c r="O962" s="4">
        <f t="shared" si="43"/>
        <v>12.096153846153847</v>
      </c>
      <c r="P962" s="1">
        <v>52</v>
      </c>
      <c r="Q962" s="1">
        <v>2587.3879399930402</v>
      </c>
      <c r="R962" s="1">
        <v>1777.5516363357699</v>
      </c>
      <c r="S962" s="5">
        <f t="shared" si="44"/>
        <v>1776.5516363357699</v>
      </c>
      <c r="T962" s="1">
        <v>940</v>
      </c>
      <c r="U962" s="1">
        <v>125</v>
      </c>
      <c r="V962" s="1">
        <v>55</v>
      </c>
      <c r="W962" s="1">
        <v>4308</v>
      </c>
      <c r="X962" s="1">
        <v>0.62364928059267799</v>
      </c>
    </row>
    <row r="963" spans="1:24" x14ac:dyDescent="0.3">
      <c r="A963" s="2">
        <v>45320</v>
      </c>
      <c r="B963" s="1" t="s">
        <v>25</v>
      </c>
      <c r="C963" s="1" t="s">
        <v>26</v>
      </c>
      <c r="D963" s="1" t="s">
        <v>19</v>
      </c>
      <c r="E963" s="1" t="s">
        <v>28</v>
      </c>
      <c r="F963" s="1">
        <v>31</v>
      </c>
      <c r="G963" s="1" t="str" cm="1">
        <f t="array" ref="G963">_xlfn.IFS(F963&lt;=25,"YOUTH",F963&lt;=48,"ADULT",TRUE,"SENIOR")</f>
        <v>ADULT</v>
      </c>
      <c r="H963" s="1" t="s">
        <v>21</v>
      </c>
      <c r="I963" s="1" t="s">
        <v>22</v>
      </c>
      <c r="J963" s="1" t="s">
        <v>38</v>
      </c>
      <c r="K963" s="1" t="s">
        <v>24</v>
      </c>
      <c r="L963" s="1">
        <v>5482</v>
      </c>
      <c r="M963" s="3">
        <f t="shared" ref="M963:M1001" si="45">(N963/L963)</f>
        <v>0.1096315213425757</v>
      </c>
      <c r="N963" s="1">
        <v>601</v>
      </c>
      <c r="O963" s="4">
        <f t="shared" ref="O963:O1001" si="46">(N963/P963)</f>
        <v>4.3237410071942444</v>
      </c>
      <c r="P963" s="1">
        <v>139</v>
      </c>
      <c r="Q963" s="1">
        <v>743.51312680690603</v>
      </c>
      <c r="R963" s="1">
        <v>3676.2727514902999</v>
      </c>
      <c r="S963" s="5">
        <f t="shared" ref="S963:S1001" si="47">(R963-Q963/Q963)</f>
        <v>3675.2727514902999</v>
      </c>
      <c r="T963" s="1">
        <v>53</v>
      </c>
      <c r="U963" s="1">
        <v>4</v>
      </c>
      <c r="V963" s="1">
        <v>2</v>
      </c>
      <c r="W963" s="1">
        <v>97</v>
      </c>
      <c r="X963" s="1">
        <v>0.83068710899999998</v>
      </c>
    </row>
    <row r="964" spans="1:24" x14ac:dyDescent="0.3">
      <c r="A964" s="2">
        <v>45342</v>
      </c>
      <c r="B964" s="1" t="s">
        <v>34</v>
      </c>
      <c r="C964" s="1" t="s">
        <v>18</v>
      </c>
      <c r="D964" s="1" t="s">
        <v>19</v>
      </c>
      <c r="E964" s="1" t="s">
        <v>20</v>
      </c>
      <c r="F964" s="1">
        <v>57</v>
      </c>
      <c r="G964" s="1" t="str" cm="1">
        <f t="array" ref="G964">_xlfn.IFS(F964&lt;=25,"YOUTH",F964&lt;=48,"ADULT",TRUE,"SENIOR")</f>
        <v>SENIOR</v>
      </c>
      <c r="H964" s="1" t="s">
        <v>29</v>
      </c>
      <c r="I964" s="1" t="s">
        <v>43</v>
      </c>
      <c r="J964" s="1" t="s">
        <v>23</v>
      </c>
      <c r="K964" s="1" t="s">
        <v>24</v>
      </c>
      <c r="L964" s="1">
        <v>43454</v>
      </c>
      <c r="M964" s="3">
        <f t="shared" si="45"/>
        <v>1.6454181433239748E-2</v>
      </c>
      <c r="N964" s="1">
        <v>715</v>
      </c>
      <c r="O964" s="4">
        <f t="shared" si="46"/>
        <v>9.9305555555555554</v>
      </c>
      <c r="P964" s="1">
        <v>72</v>
      </c>
      <c r="Q964" s="1">
        <v>6514.5124892550803</v>
      </c>
      <c r="R964" s="1">
        <v>4142.2273969999997</v>
      </c>
      <c r="S964" s="5">
        <f t="shared" si="47"/>
        <v>4141.2273969999997</v>
      </c>
      <c r="T964" s="1">
        <v>285</v>
      </c>
      <c r="U964" s="1">
        <v>52</v>
      </c>
      <c r="V964" s="1">
        <v>16</v>
      </c>
      <c r="W964" s="1">
        <v>7702</v>
      </c>
      <c r="X964" s="1">
        <v>0.86001780400619698</v>
      </c>
    </row>
    <row r="965" spans="1:24" x14ac:dyDescent="0.3">
      <c r="A965" s="2">
        <v>45332</v>
      </c>
      <c r="B965" s="1" t="s">
        <v>25</v>
      </c>
      <c r="C965" s="1" t="s">
        <v>26</v>
      </c>
      <c r="D965" s="1" t="s">
        <v>32</v>
      </c>
      <c r="E965" s="1" t="s">
        <v>28</v>
      </c>
      <c r="F965" s="1">
        <v>57</v>
      </c>
      <c r="G965" s="1" t="str" cm="1">
        <f t="array" ref="G965">_xlfn.IFS(F965&lt;=25,"YOUTH",F965&lt;=48,"ADULT",TRUE,"SENIOR")</f>
        <v>SENIOR</v>
      </c>
      <c r="H965" s="1" t="s">
        <v>21</v>
      </c>
      <c r="I965" s="1" t="s">
        <v>43</v>
      </c>
      <c r="J965" s="1" t="s">
        <v>30</v>
      </c>
      <c r="K965" s="1" t="s">
        <v>31</v>
      </c>
      <c r="L965" s="1">
        <v>26428</v>
      </c>
      <c r="M965" s="3">
        <f t="shared" si="45"/>
        <v>4.7260481307703953E-2</v>
      </c>
      <c r="N965" s="1">
        <v>1249</v>
      </c>
      <c r="O965" s="4">
        <f t="shared" si="46"/>
        <v>5.8093023255813954</v>
      </c>
      <c r="P965" s="1">
        <v>215</v>
      </c>
      <c r="Q965" s="1">
        <v>2831.6537785676601</v>
      </c>
      <c r="R965" s="1">
        <v>2900.28537150495</v>
      </c>
      <c r="S965" s="5">
        <f t="shared" si="47"/>
        <v>2899.28537150495</v>
      </c>
      <c r="T965" s="1">
        <v>412</v>
      </c>
      <c r="U965" s="1">
        <v>37</v>
      </c>
      <c r="V965" s="1">
        <v>19</v>
      </c>
      <c r="W965" s="1">
        <v>600</v>
      </c>
      <c r="X965" s="1">
        <v>0.64992195735092495</v>
      </c>
    </row>
    <row r="966" spans="1:24" x14ac:dyDescent="0.3">
      <c r="A966" s="2">
        <v>45333</v>
      </c>
      <c r="B966" s="1" t="s">
        <v>17</v>
      </c>
      <c r="C966" s="1" t="s">
        <v>41</v>
      </c>
      <c r="D966" s="1" t="s">
        <v>27</v>
      </c>
      <c r="E966" s="1" t="s">
        <v>28</v>
      </c>
      <c r="F966" s="1">
        <v>56</v>
      </c>
      <c r="G966" s="1" t="str" cm="1">
        <f t="array" ref="G966">_xlfn.IFS(F966&lt;=25,"YOUTH",F966&lt;=48,"ADULT",TRUE,"SENIOR")</f>
        <v>SENIOR</v>
      </c>
      <c r="H966" s="1" t="s">
        <v>21</v>
      </c>
      <c r="I966" s="1" t="s">
        <v>37</v>
      </c>
      <c r="J966" s="1" t="s">
        <v>23</v>
      </c>
      <c r="K966" s="1" t="s">
        <v>24</v>
      </c>
      <c r="L966" s="1">
        <v>8400</v>
      </c>
      <c r="M966" s="3">
        <f t="shared" si="45"/>
        <v>7.9523809523809524E-2</v>
      </c>
      <c r="N966" s="1">
        <v>668</v>
      </c>
      <c r="O966" s="4">
        <f t="shared" si="46"/>
        <v>4.024096385542169</v>
      </c>
      <c r="P966" s="1">
        <v>166</v>
      </c>
      <c r="Q966" s="1">
        <v>1249.05883156818</v>
      </c>
      <c r="R966" s="1">
        <v>11220.2731590778</v>
      </c>
      <c r="S966" s="5">
        <f t="shared" si="47"/>
        <v>11219.2731590778</v>
      </c>
      <c r="T966" s="1">
        <v>45</v>
      </c>
      <c r="U966" s="1">
        <v>5</v>
      </c>
      <c r="V966" s="1">
        <v>3</v>
      </c>
      <c r="W966" s="1">
        <v>1468</v>
      </c>
      <c r="X966" s="1">
        <v>0.72502528626726004</v>
      </c>
    </row>
    <row r="967" spans="1:24" x14ac:dyDescent="0.3">
      <c r="A967" s="2">
        <v>45325</v>
      </c>
      <c r="B967" s="1" t="s">
        <v>40</v>
      </c>
      <c r="C967" s="1" t="s">
        <v>35</v>
      </c>
      <c r="D967" s="1" t="s">
        <v>36</v>
      </c>
      <c r="E967" s="1" t="s">
        <v>20</v>
      </c>
      <c r="F967" s="1">
        <v>23</v>
      </c>
      <c r="G967" s="1" t="str" cm="1">
        <f t="array" ref="G967">_xlfn.IFS(F967&lt;=25,"YOUTH",F967&lt;=48,"ADULT",TRUE,"SENIOR")</f>
        <v>YOUTH</v>
      </c>
      <c r="H967" s="1" t="s">
        <v>29</v>
      </c>
      <c r="I967" s="1" t="s">
        <v>37</v>
      </c>
      <c r="J967" s="1" t="s">
        <v>38</v>
      </c>
      <c r="K967" s="1" t="s">
        <v>39</v>
      </c>
      <c r="L967" s="1">
        <v>40574</v>
      </c>
      <c r="M967" s="3">
        <f t="shared" si="45"/>
        <v>6.8787893725045596E-2</v>
      </c>
      <c r="N967" s="1">
        <v>2791</v>
      </c>
      <c r="O967" s="4">
        <f t="shared" si="46"/>
        <v>12.459821428571429</v>
      </c>
      <c r="P967" s="1">
        <v>224</v>
      </c>
      <c r="Q967" s="1">
        <v>4292.5513282195097</v>
      </c>
      <c r="R967" s="1">
        <v>10363.2144310574</v>
      </c>
      <c r="S967" s="5">
        <f t="shared" si="47"/>
        <v>10362.2144310574</v>
      </c>
      <c r="T967" s="1">
        <v>525</v>
      </c>
      <c r="U967" s="1">
        <v>42</v>
      </c>
      <c r="V967" s="1">
        <v>12</v>
      </c>
      <c r="W967" s="1">
        <v>3426</v>
      </c>
      <c r="X967" s="1">
        <v>0.69365176399999995</v>
      </c>
    </row>
    <row r="968" spans="1:24" x14ac:dyDescent="0.3">
      <c r="A968" s="2">
        <v>45292</v>
      </c>
      <c r="B968" s="1" t="s">
        <v>25</v>
      </c>
      <c r="C968" s="1" t="s">
        <v>18</v>
      </c>
      <c r="D968" s="1" t="s">
        <v>36</v>
      </c>
      <c r="E968" s="1" t="s">
        <v>20</v>
      </c>
      <c r="F968" s="1">
        <v>23</v>
      </c>
      <c r="G968" s="1" t="str" cm="1">
        <f t="array" ref="G968">_xlfn.IFS(F968&lt;=25,"YOUTH",F968&lt;=48,"ADULT",TRUE,"SENIOR")</f>
        <v>YOUTH</v>
      </c>
      <c r="H968" s="1" t="s">
        <v>29</v>
      </c>
      <c r="I968" s="1" t="s">
        <v>33</v>
      </c>
      <c r="J968" s="1" t="s">
        <v>38</v>
      </c>
      <c r="K968" s="1" t="s">
        <v>24</v>
      </c>
      <c r="L968" s="1">
        <v>44284</v>
      </c>
      <c r="M968" s="3">
        <f t="shared" si="45"/>
        <v>3.6853039472495706E-2</v>
      </c>
      <c r="N968" s="1">
        <v>1632</v>
      </c>
      <c r="O968" s="4">
        <f t="shared" si="46"/>
        <v>6.580645161290323</v>
      </c>
      <c r="P968" s="1">
        <v>248</v>
      </c>
      <c r="Q968" s="1">
        <v>5108.1521091272798</v>
      </c>
      <c r="R968" s="1">
        <v>15536.9363972018</v>
      </c>
      <c r="S968" s="5">
        <f t="shared" si="47"/>
        <v>15535.9363972018</v>
      </c>
      <c r="T968" s="1">
        <v>628</v>
      </c>
      <c r="U968" s="1">
        <v>67</v>
      </c>
      <c r="V968" s="1">
        <v>21</v>
      </c>
      <c r="W968" s="1">
        <v>3517</v>
      </c>
      <c r="X968" s="1">
        <v>0.91655772389897505</v>
      </c>
    </row>
    <row r="969" spans="1:24" x14ac:dyDescent="0.3">
      <c r="A969" s="2">
        <v>45322</v>
      </c>
      <c r="B969" s="1" t="s">
        <v>40</v>
      </c>
      <c r="C969" s="1" t="s">
        <v>26</v>
      </c>
      <c r="D969" s="1" t="s">
        <v>19</v>
      </c>
      <c r="E969" s="1" t="s">
        <v>20</v>
      </c>
      <c r="F969" s="1">
        <v>20</v>
      </c>
      <c r="G969" s="1" t="str" cm="1">
        <f t="array" ref="G969">_xlfn.IFS(F969&lt;=25,"YOUTH",F969&lt;=48,"ADULT",TRUE,"SENIOR")</f>
        <v>YOUTH</v>
      </c>
      <c r="H969" s="1" t="s">
        <v>42</v>
      </c>
      <c r="I969" s="1" t="s">
        <v>37</v>
      </c>
      <c r="J969" s="1" t="s">
        <v>23</v>
      </c>
      <c r="K969" s="1" t="s">
        <v>39</v>
      </c>
      <c r="L969" s="1">
        <v>8396</v>
      </c>
      <c r="M969" s="3">
        <f t="shared" si="45"/>
        <v>5.6693663649356837E-2</v>
      </c>
      <c r="N969" s="1">
        <v>476</v>
      </c>
      <c r="O969" s="4">
        <f t="shared" si="46"/>
        <v>5.6</v>
      </c>
      <c r="P969" s="1">
        <v>85</v>
      </c>
      <c r="Q969" s="1">
        <v>592.13025256471406</v>
      </c>
      <c r="R969" s="1">
        <v>2779.9288069128202</v>
      </c>
      <c r="S969" s="5">
        <f t="shared" si="47"/>
        <v>2778.9288069128202</v>
      </c>
      <c r="T969" s="1">
        <v>120</v>
      </c>
      <c r="U969" s="1">
        <v>14</v>
      </c>
      <c r="V969" s="1">
        <v>6</v>
      </c>
      <c r="W969" s="1">
        <v>949</v>
      </c>
      <c r="X969" s="1">
        <v>0.79902812680046797</v>
      </c>
    </row>
    <row r="970" spans="1:24" x14ac:dyDescent="0.3">
      <c r="A970" s="2">
        <v>45321</v>
      </c>
      <c r="B970" s="1" t="s">
        <v>25</v>
      </c>
      <c r="C970" s="1" t="s">
        <v>41</v>
      </c>
      <c r="D970" s="1" t="s">
        <v>36</v>
      </c>
      <c r="E970" s="1" t="s">
        <v>28</v>
      </c>
      <c r="F970" s="1">
        <v>24</v>
      </c>
      <c r="G970" s="1" t="str" cm="1">
        <f t="array" ref="G970">_xlfn.IFS(F970&lt;=25,"YOUTH",F970&lt;=48,"ADULT",TRUE,"SENIOR")</f>
        <v>YOUTH</v>
      </c>
      <c r="H970" s="1" t="s">
        <v>29</v>
      </c>
      <c r="I970" s="1" t="s">
        <v>33</v>
      </c>
      <c r="J970" s="1" t="s">
        <v>23</v>
      </c>
      <c r="K970" s="1" t="s">
        <v>31</v>
      </c>
      <c r="L970" s="1">
        <v>8338</v>
      </c>
      <c r="M970" s="3">
        <f t="shared" si="45"/>
        <v>0.1117774046533941</v>
      </c>
      <c r="N970" s="1">
        <v>932</v>
      </c>
      <c r="O970" s="4">
        <f t="shared" si="46"/>
        <v>17.584905660377359</v>
      </c>
      <c r="P970" s="1">
        <v>53</v>
      </c>
      <c r="Q970" s="1">
        <v>636.0708429</v>
      </c>
      <c r="R970" s="1">
        <v>1409.7013975004199</v>
      </c>
      <c r="S970" s="5">
        <f t="shared" si="47"/>
        <v>1408.7013975004199</v>
      </c>
      <c r="T970" s="1">
        <v>245</v>
      </c>
      <c r="U970" s="1">
        <v>23</v>
      </c>
      <c r="V970" s="1">
        <v>11</v>
      </c>
      <c r="W970" s="1">
        <v>1599</v>
      </c>
      <c r="X970" s="1">
        <v>0.90893854592356205</v>
      </c>
    </row>
    <row r="971" spans="1:24" x14ac:dyDescent="0.3">
      <c r="A971" s="2">
        <v>45339</v>
      </c>
      <c r="B971" s="1" t="s">
        <v>25</v>
      </c>
      <c r="C971" s="1" t="s">
        <v>41</v>
      </c>
      <c r="D971" s="1" t="s">
        <v>36</v>
      </c>
      <c r="E971" s="1" t="s">
        <v>28</v>
      </c>
      <c r="F971" s="1">
        <v>25</v>
      </c>
      <c r="G971" s="1" t="str" cm="1">
        <f t="array" ref="G971">_xlfn.IFS(F971&lt;=25,"YOUTH",F971&lt;=48,"ADULT",TRUE,"SENIOR")</f>
        <v>YOUTH</v>
      </c>
      <c r="H971" s="1" t="s">
        <v>29</v>
      </c>
      <c r="I971" s="1" t="s">
        <v>43</v>
      </c>
      <c r="J971" s="1" t="s">
        <v>38</v>
      </c>
      <c r="K971" s="1" t="s">
        <v>31</v>
      </c>
      <c r="L971" s="1">
        <v>43718</v>
      </c>
      <c r="M971" s="3">
        <f t="shared" si="45"/>
        <v>0.1036872684020312</v>
      </c>
      <c r="N971" s="1">
        <v>4533</v>
      </c>
      <c r="O971" s="4">
        <f t="shared" si="46"/>
        <v>18.502040816326531</v>
      </c>
      <c r="P971" s="1">
        <v>245</v>
      </c>
      <c r="Q971" s="1">
        <v>1693.53198457748</v>
      </c>
      <c r="R971" s="1">
        <v>15569.0585262244</v>
      </c>
      <c r="S971" s="5">
        <f t="shared" si="47"/>
        <v>15568.0585262244</v>
      </c>
      <c r="T971" s="1">
        <v>550</v>
      </c>
      <c r="U971" s="1">
        <v>90</v>
      </c>
      <c r="V971" s="1">
        <v>28</v>
      </c>
      <c r="W971" s="1">
        <v>7902</v>
      </c>
      <c r="X971" s="1">
        <v>0.52100548793408397</v>
      </c>
    </row>
    <row r="972" spans="1:24" x14ac:dyDescent="0.3">
      <c r="A972" s="2">
        <v>45309</v>
      </c>
      <c r="B972" s="1" t="s">
        <v>25</v>
      </c>
      <c r="C972" s="1" t="s">
        <v>26</v>
      </c>
      <c r="D972" s="1" t="s">
        <v>32</v>
      </c>
      <c r="E972" s="1" t="s">
        <v>28</v>
      </c>
      <c r="F972" s="1">
        <v>59</v>
      </c>
      <c r="G972" s="1" t="str" cm="1">
        <f t="array" ref="G972">_xlfn.IFS(F972&lt;=25,"YOUTH",F972&lt;=48,"ADULT",TRUE,"SENIOR")</f>
        <v>SENIOR</v>
      </c>
      <c r="H972" s="1" t="s">
        <v>29</v>
      </c>
      <c r="I972" s="1" t="s">
        <v>43</v>
      </c>
      <c r="J972" s="1" t="s">
        <v>23</v>
      </c>
      <c r="K972" s="1" t="s">
        <v>39</v>
      </c>
      <c r="L972" s="1">
        <v>13500</v>
      </c>
      <c r="M972" s="3">
        <f t="shared" si="45"/>
        <v>0.02</v>
      </c>
      <c r="N972" s="1">
        <v>270</v>
      </c>
      <c r="O972" s="4">
        <f t="shared" si="46"/>
        <v>8.1818181818181817</v>
      </c>
      <c r="P972" s="1">
        <v>33</v>
      </c>
      <c r="Q972" s="1">
        <v>1713.9262759127901</v>
      </c>
      <c r="R972" s="1">
        <v>377.08264693966902</v>
      </c>
      <c r="S972" s="5">
        <f t="shared" si="47"/>
        <v>376.08264693966902</v>
      </c>
      <c r="T972" s="1">
        <v>157</v>
      </c>
      <c r="U972" s="1">
        <v>17</v>
      </c>
      <c r="V972" s="1">
        <v>13</v>
      </c>
      <c r="W972" s="1">
        <v>1341</v>
      </c>
      <c r="X972" s="1">
        <v>0.57063026850796805</v>
      </c>
    </row>
    <row r="973" spans="1:24" x14ac:dyDescent="0.3">
      <c r="A973" s="2">
        <v>45346</v>
      </c>
      <c r="B973" s="1" t="s">
        <v>25</v>
      </c>
      <c r="C973" s="1" t="s">
        <v>41</v>
      </c>
      <c r="D973" s="1" t="s">
        <v>19</v>
      </c>
      <c r="E973" s="1" t="s">
        <v>28</v>
      </c>
      <c r="F973" s="1">
        <v>32</v>
      </c>
      <c r="G973" s="1" t="str" cm="1">
        <f t="array" ref="G973">_xlfn.IFS(F973&lt;=25,"YOUTH",F973&lt;=48,"ADULT",TRUE,"SENIOR")</f>
        <v>ADULT</v>
      </c>
      <c r="H973" s="1" t="s">
        <v>21</v>
      </c>
      <c r="I973" s="1" t="s">
        <v>22</v>
      </c>
      <c r="J973" s="1" t="s">
        <v>23</v>
      </c>
      <c r="K973" s="1" t="s">
        <v>39</v>
      </c>
      <c r="L973" s="1">
        <v>12545</v>
      </c>
      <c r="M973" s="3">
        <f t="shared" si="45"/>
        <v>0.11454762853726584</v>
      </c>
      <c r="N973" s="1">
        <v>1437</v>
      </c>
      <c r="O973" s="4">
        <f t="shared" si="46"/>
        <v>9.2115384615384617</v>
      </c>
      <c r="P973" s="1">
        <v>156</v>
      </c>
      <c r="Q973" s="1">
        <v>1769.3176205223899</v>
      </c>
      <c r="R973" s="1">
        <v>1967.4673274635099</v>
      </c>
      <c r="S973" s="5">
        <f t="shared" si="47"/>
        <v>1966.4673274635099</v>
      </c>
      <c r="T973" s="1">
        <v>103</v>
      </c>
      <c r="U973" s="1">
        <v>16</v>
      </c>
      <c r="V973" s="1">
        <v>9</v>
      </c>
      <c r="W973" s="1">
        <v>1783</v>
      </c>
      <c r="X973" s="1">
        <v>0.43900241024903702</v>
      </c>
    </row>
    <row r="974" spans="1:24" x14ac:dyDescent="0.3">
      <c r="A974" s="2">
        <v>45349</v>
      </c>
      <c r="B974" s="1" t="s">
        <v>25</v>
      </c>
      <c r="C974" s="1" t="s">
        <v>41</v>
      </c>
      <c r="D974" s="1" t="s">
        <v>27</v>
      </c>
      <c r="E974" s="1" t="s">
        <v>20</v>
      </c>
      <c r="F974" s="1">
        <v>46</v>
      </c>
      <c r="G974" s="1" t="str" cm="1">
        <f t="array" ref="G974">_xlfn.IFS(F974&lt;=25,"YOUTH",F974&lt;=48,"ADULT",TRUE,"SENIOR")</f>
        <v>ADULT</v>
      </c>
      <c r="H974" s="1" t="s">
        <v>21</v>
      </c>
      <c r="I974" s="1" t="s">
        <v>43</v>
      </c>
      <c r="J974" s="1" t="s">
        <v>23</v>
      </c>
      <c r="K974" s="1" t="s">
        <v>31</v>
      </c>
      <c r="L974" s="1">
        <v>6241</v>
      </c>
      <c r="M974" s="3">
        <f t="shared" si="45"/>
        <v>1.7304919083480211E-2</v>
      </c>
      <c r="N974" s="1">
        <v>108</v>
      </c>
      <c r="O974" s="4">
        <f t="shared" si="46"/>
        <v>5.6842105263157894</v>
      </c>
      <c r="P974" s="1">
        <v>19</v>
      </c>
      <c r="Q974" s="1">
        <v>630.63406099999997</v>
      </c>
      <c r="R974" s="1">
        <v>464.69326895857603</v>
      </c>
      <c r="S974" s="5">
        <f t="shared" si="47"/>
        <v>463.69326895857603</v>
      </c>
      <c r="T974" s="1">
        <v>110</v>
      </c>
      <c r="U974" s="1">
        <v>8</v>
      </c>
      <c r="V974" s="1">
        <v>4</v>
      </c>
      <c r="W974" s="1">
        <v>750</v>
      </c>
      <c r="X974" s="1">
        <v>0.67494937618269402</v>
      </c>
    </row>
    <row r="975" spans="1:24" x14ac:dyDescent="0.3">
      <c r="A975" s="2">
        <v>45308</v>
      </c>
      <c r="B975" s="1" t="s">
        <v>40</v>
      </c>
      <c r="C975" s="1" t="s">
        <v>18</v>
      </c>
      <c r="D975" s="1" t="s">
        <v>19</v>
      </c>
      <c r="E975" s="1" t="s">
        <v>28</v>
      </c>
      <c r="F975" s="1">
        <v>50</v>
      </c>
      <c r="G975" s="1" t="str" cm="1">
        <f t="array" ref="G975">_xlfn.IFS(F975&lt;=25,"YOUTH",F975&lt;=48,"ADULT",TRUE,"SENIOR")</f>
        <v>SENIOR</v>
      </c>
      <c r="H975" s="1" t="s">
        <v>21</v>
      </c>
      <c r="I975" s="1" t="s">
        <v>33</v>
      </c>
      <c r="J975" s="1" t="s">
        <v>23</v>
      </c>
      <c r="K975" s="1" t="s">
        <v>39</v>
      </c>
      <c r="L975" s="1">
        <v>24778</v>
      </c>
      <c r="M975" s="3">
        <f t="shared" si="45"/>
        <v>8.6003712971184115E-2</v>
      </c>
      <c r="N975" s="1">
        <v>2131</v>
      </c>
      <c r="O975" s="4">
        <f t="shared" si="46"/>
        <v>28.039473684210527</v>
      </c>
      <c r="P975" s="1">
        <v>76</v>
      </c>
      <c r="Q975" s="1">
        <v>1602.4960911258099</v>
      </c>
      <c r="R975" s="1">
        <v>5121.2884099256098</v>
      </c>
      <c r="S975" s="5">
        <f t="shared" si="47"/>
        <v>5120.2884099256098</v>
      </c>
      <c r="T975" s="1">
        <v>219</v>
      </c>
      <c r="U975" s="1">
        <v>23</v>
      </c>
      <c r="V975" s="1">
        <v>19</v>
      </c>
      <c r="W975" s="1">
        <v>3512</v>
      </c>
      <c r="X975" s="1">
        <v>0.88065802366224999</v>
      </c>
    </row>
    <row r="976" spans="1:24" x14ac:dyDescent="0.3">
      <c r="A976" s="2">
        <v>45329</v>
      </c>
      <c r="B976" s="1" t="s">
        <v>25</v>
      </c>
      <c r="C976" s="1" t="s">
        <v>41</v>
      </c>
      <c r="D976" s="1" t="s">
        <v>32</v>
      </c>
      <c r="E976" s="1" t="s">
        <v>28</v>
      </c>
      <c r="F976" s="1">
        <v>47</v>
      </c>
      <c r="G976" s="1" t="str" cm="1">
        <f t="array" ref="G976">_xlfn.IFS(F976&lt;=25,"YOUTH",F976&lt;=48,"ADULT",TRUE,"SENIOR")</f>
        <v>ADULT</v>
      </c>
      <c r="H976" s="1" t="s">
        <v>29</v>
      </c>
      <c r="I976" s="1" t="s">
        <v>37</v>
      </c>
      <c r="J976" s="1" t="s">
        <v>23</v>
      </c>
      <c r="K976" s="1" t="s">
        <v>31</v>
      </c>
      <c r="L976" s="1">
        <v>23821</v>
      </c>
      <c r="M976" s="3">
        <f t="shared" si="45"/>
        <v>4.6387641156962346E-2</v>
      </c>
      <c r="N976" s="1">
        <v>1105</v>
      </c>
      <c r="O976" s="4">
        <f t="shared" si="46"/>
        <v>4.1078066914498139</v>
      </c>
      <c r="P976" s="1">
        <v>269</v>
      </c>
      <c r="Q976" s="1">
        <v>953.36697527656099</v>
      </c>
      <c r="R976" s="1">
        <v>12414.204643491301</v>
      </c>
      <c r="S976" s="5">
        <f t="shared" si="47"/>
        <v>12413.204643491301</v>
      </c>
      <c r="T976" s="1">
        <v>486</v>
      </c>
      <c r="U976" s="1">
        <v>24</v>
      </c>
      <c r="V976" s="1">
        <v>27</v>
      </c>
      <c r="W976" s="1">
        <v>3991</v>
      </c>
      <c r="X976" s="1">
        <v>0.57976568342189305</v>
      </c>
    </row>
    <row r="977" spans="1:24" x14ac:dyDescent="0.3">
      <c r="A977" s="2">
        <v>45305</v>
      </c>
      <c r="B977" s="1" t="s">
        <v>40</v>
      </c>
      <c r="C977" s="1" t="s">
        <v>26</v>
      </c>
      <c r="D977" s="1" t="s">
        <v>36</v>
      </c>
      <c r="E977" s="1" t="s">
        <v>20</v>
      </c>
      <c r="F977" s="1">
        <v>56</v>
      </c>
      <c r="G977" s="1" t="str" cm="1">
        <f t="array" ref="G977">_xlfn.IFS(F977&lt;=25,"YOUTH",F977&lt;=48,"ADULT",TRUE,"SENIOR")</f>
        <v>SENIOR</v>
      </c>
      <c r="H977" s="1" t="s">
        <v>21</v>
      </c>
      <c r="I977" s="1" t="s">
        <v>22</v>
      </c>
      <c r="J977" s="1" t="s">
        <v>38</v>
      </c>
      <c r="K977" s="1" t="s">
        <v>24</v>
      </c>
      <c r="L977" s="1">
        <v>5695</v>
      </c>
      <c r="M977" s="3">
        <f t="shared" si="45"/>
        <v>9.2186128182616331E-2</v>
      </c>
      <c r="N977" s="1">
        <v>525</v>
      </c>
      <c r="O977" s="4">
        <f t="shared" si="46"/>
        <v>43.75</v>
      </c>
      <c r="P977" s="1">
        <v>12</v>
      </c>
      <c r="Q977" s="1">
        <v>310.20841469999999</v>
      </c>
      <c r="R977" s="1">
        <v>492.27108336000998</v>
      </c>
      <c r="S977" s="5">
        <f t="shared" si="47"/>
        <v>491.27108336000998</v>
      </c>
      <c r="T977" s="1">
        <v>50</v>
      </c>
      <c r="U977" s="1">
        <v>8</v>
      </c>
      <c r="V977" s="1">
        <v>2</v>
      </c>
      <c r="W977" s="1">
        <v>94</v>
      </c>
      <c r="X977" s="1">
        <v>0.470555158822132</v>
      </c>
    </row>
    <row r="978" spans="1:24" x14ac:dyDescent="0.3">
      <c r="A978" s="2">
        <v>45314</v>
      </c>
      <c r="B978" s="1" t="s">
        <v>17</v>
      </c>
      <c r="C978" s="1" t="s">
        <v>18</v>
      </c>
      <c r="D978" s="1" t="s">
        <v>27</v>
      </c>
      <c r="E978" s="1" t="s">
        <v>28</v>
      </c>
      <c r="F978" s="1">
        <v>44</v>
      </c>
      <c r="G978" s="1" t="str" cm="1">
        <f t="array" ref="G978">_xlfn.IFS(F978&lt;=25,"YOUTH",F978&lt;=48,"ADULT",TRUE,"SENIOR")</f>
        <v>ADULT</v>
      </c>
      <c r="H978" s="1" t="s">
        <v>29</v>
      </c>
      <c r="I978" s="1" t="s">
        <v>33</v>
      </c>
      <c r="J978" s="1" t="s">
        <v>23</v>
      </c>
      <c r="K978" s="1" t="s">
        <v>31</v>
      </c>
      <c r="L978" s="1">
        <v>12530</v>
      </c>
      <c r="M978" s="3">
        <f t="shared" si="45"/>
        <v>4.6528332003192341E-2</v>
      </c>
      <c r="N978" s="1">
        <v>583</v>
      </c>
      <c r="O978" s="4">
        <f t="shared" si="46"/>
        <v>6.3369565217391308</v>
      </c>
      <c r="P978" s="1">
        <v>92</v>
      </c>
      <c r="Q978" s="1">
        <v>666.63803452556704</v>
      </c>
      <c r="R978" s="1">
        <v>4678.0308914054103</v>
      </c>
      <c r="S978" s="5">
        <f t="shared" si="47"/>
        <v>4677.0308914054103</v>
      </c>
      <c r="T978" s="1">
        <v>243</v>
      </c>
      <c r="U978" s="1">
        <v>34</v>
      </c>
      <c r="V978" s="1">
        <v>24</v>
      </c>
      <c r="W978" s="1">
        <v>900</v>
      </c>
      <c r="X978" s="1">
        <v>0.43764544021097901</v>
      </c>
    </row>
    <row r="979" spans="1:24" x14ac:dyDescent="0.3">
      <c r="A979" s="2">
        <v>45316</v>
      </c>
      <c r="B979" s="1" t="s">
        <v>34</v>
      </c>
      <c r="C979" s="1" t="s">
        <v>26</v>
      </c>
      <c r="D979" s="1" t="s">
        <v>19</v>
      </c>
      <c r="E979" s="1" t="s">
        <v>28</v>
      </c>
      <c r="F979" s="1">
        <v>53</v>
      </c>
      <c r="G979" s="1" t="str" cm="1">
        <f t="array" ref="G979">_xlfn.IFS(F979&lt;=25,"YOUTH",F979&lt;=48,"ADULT",TRUE,"SENIOR")</f>
        <v>SENIOR</v>
      </c>
      <c r="H979" s="1" t="s">
        <v>21</v>
      </c>
      <c r="I979" s="1" t="s">
        <v>37</v>
      </c>
      <c r="J979" s="1" t="s">
        <v>23</v>
      </c>
      <c r="K979" s="1" t="s">
        <v>31</v>
      </c>
      <c r="L979" s="1">
        <v>48080</v>
      </c>
      <c r="M979" s="3">
        <f t="shared" si="45"/>
        <v>0.14787853577371049</v>
      </c>
      <c r="N979" s="1">
        <v>7110</v>
      </c>
      <c r="O979" s="4">
        <f t="shared" si="46"/>
        <v>6.6949152542372881</v>
      </c>
      <c r="P979" s="1">
        <v>1062</v>
      </c>
      <c r="Q979" s="1">
        <v>4796.3946871759899</v>
      </c>
      <c r="R979" s="1">
        <v>34128.268606075799</v>
      </c>
      <c r="S979" s="5">
        <f t="shared" si="47"/>
        <v>34127.268606075799</v>
      </c>
      <c r="T979" s="1">
        <v>1233</v>
      </c>
      <c r="U979" s="1">
        <v>212</v>
      </c>
      <c r="V979" s="1">
        <v>106</v>
      </c>
      <c r="W979" s="1">
        <v>9244</v>
      </c>
      <c r="X979" s="1">
        <v>0.64612515000000004</v>
      </c>
    </row>
    <row r="980" spans="1:24" x14ac:dyDescent="0.3">
      <c r="A980" s="2">
        <v>45306</v>
      </c>
      <c r="B980" s="1" t="s">
        <v>25</v>
      </c>
      <c r="C980" s="1" t="s">
        <v>35</v>
      </c>
      <c r="D980" s="1" t="s">
        <v>36</v>
      </c>
      <c r="E980" s="1" t="s">
        <v>20</v>
      </c>
      <c r="F980" s="1">
        <v>46</v>
      </c>
      <c r="G980" s="1" t="str" cm="1">
        <f t="array" ref="G980">_xlfn.IFS(F980&lt;=25,"YOUTH",F980&lt;=48,"ADULT",TRUE,"SENIOR")</f>
        <v>ADULT</v>
      </c>
      <c r="H980" s="1" t="s">
        <v>21</v>
      </c>
      <c r="I980" s="1" t="s">
        <v>22</v>
      </c>
      <c r="J980" s="1" t="s">
        <v>38</v>
      </c>
      <c r="K980" s="1" t="s">
        <v>31</v>
      </c>
      <c r="L980" s="1">
        <v>15318</v>
      </c>
      <c r="M980" s="3">
        <f t="shared" si="45"/>
        <v>5.3335944640292468E-2</v>
      </c>
      <c r="N980" s="1">
        <v>817</v>
      </c>
      <c r="O980" s="4">
        <f t="shared" si="46"/>
        <v>19.926829268292682</v>
      </c>
      <c r="P980" s="1">
        <v>41</v>
      </c>
      <c r="Q980" s="1">
        <v>2188.2509060000002</v>
      </c>
      <c r="R980" s="1">
        <v>2225.2658812864202</v>
      </c>
      <c r="S980" s="5">
        <f t="shared" si="47"/>
        <v>2224.2658812864202</v>
      </c>
      <c r="T980" s="1">
        <v>92</v>
      </c>
      <c r="U980" s="1">
        <v>10</v>
      </c>
      <c r="V980" s="1">
        <v>9</v>
      </c>
      <c r="W980" s="1">
        <v>2916</v>
      </c>
      <c r="X980" s="1">
        <v>0.49021195954581898</v>
      </c>
    </row>
    <row r="981" spans="1:24" x14ac:dyDescent="0.3">
      <c r="A981" s="2">
        <v>45337</v>
      </c>
      <c r="B981" s="1" t="s">
        <v>34</v>
      </c>
      <c r="C981" s="1" t="s">
        <v>26</v>
      </c>
      <c r="D981" s="1" t="s">
        <v>19</v>
      </c>
      <c r="E981" s="1" t="s">
        <v>28</v>
      </c>
      <c r="F981" s="1">
        <v>55</v>
      </c>
      <c r="G981" s="1" t="str" cm="1">
        <f t="array" ref="G981">_xlfn.IFS(F981&lt;=25,"YOUTH",F981&lt;=48,"ADULT",TRUE,"SENIOR")</f>
        <v>SENIOR</v>
      </c>
      <c r="H981" s="1" t="s">
        <v>29</v>
      </c>
      <c r="I981" s="1" t="s">
        <v>43</v>
      </c>
      <c r="J981" s="1" t="s">
        <v>23</v>
      </c>
      <c r="K981" s="1" t="s">
        <v>31</v>
      </c>
      <c r="L981" s="1">
        <v>23331</v>
      </c>
      <c r="M981" s="3">
        <f t="shared" si="45"/>
        <v>4.3847241867043849E-2</v>
      </c>
      <c r="N981" s="1">
        <v>1023</v>
      </c>
      <c r="O981" s="4">
        <f t="shared" si="46"/>
        <v>18.600000000000001</v>
      </c>
      <c r="P981" s="1">
        <v>55</v>
      </c>
      <c r="Q981" s="1">
        <v>613.03008130016599</v>
      </c>
      <c r="R981" s="1">
        <v>1680.7997452530301</v>
      </c>
      <c r="S981" s="5">
        <f t="shared" si="47"/>
        <v>1679.7997452530301</v>
      </c>
      <c r="T981" s="1">
        <v>361</v>
      </c>
      <c r="U981" s="1">
        <v>61</v>
      </c>
      <c r="V981" s="1">
        <v>12</v>
      </c>
      <c r="W981" s="1">
        <v>283</v>
      </c>
      <c r="X981" s="1">
        <v>0.59035721588680601</v>
      </c>
    </row>
    <row r="982" spans="1:24" x14ac:dyDescent="0.3">
      <c r="A982" s="2">
        <v>45347</v>
      </c>
      <c r="B982" s="1" t="s">
        <v>40</v>
      </c>
      <c r="C982" s="1" t="s">
        <v>26</v>
      </c>
      <c r="D982" s="1" t="s">
        <v>27</v>
      </c>
      <c r="E982" s="1" t="s">
        <v>28</v>
      </c>
      <c r="F982" s="1">
        <v>50</v>
      </c>
      <c r="G982" s="1" t="str" cm="1">
        <f t="array" ref="G982">_xlfn.IFS(F982&lt;=25,"YOUTH",F982&lt;=48,"ADULT",TRUE,"SENIOR")</f>
        <v>SENIOR</v>
      </c>
      <c r="H982" s="1" t="s">
        <v>29</v>
      </c>
      <c r="I982" s="1" t="s">
        <v>33</v>
      </c>
      <c r="J982" s="1" t="s">
        <v>30</v>
      </c>
      <c r="K982" s="1" t="s">
        <v>31</v>
      </c>
      <c r="L982" s="1">
        <v>27355</v>
      </c>
      <c r="M982" s="3">
        <f t="shared" si="45"/>
        <v>4.8949003838420761E-2</v>
      </c>
      <c r="N982" s="1">
        <v>1339</v>
      </c>
      <c r="O982" s="4">
        <f t="shared" si="46"/>
        <v>4.9592592592592597</v>
      </c>
      <c r="P982" s="1">
        <v>270</v>
      </c>
      <c r="Q982" s="1">
        <v>550.73545070279602</v>
      </c>
      <c r="R982" s="1">
        <v>15852.6738942309</v>
      </c>
      <c r="S982" s="5">
        <f t="shared" si="47"/>
        <v>15851.6738942309</v>
      </c>
      <c r="T982" s="1">
        <v>452</v>
      </c>
      <c r="U982" s="1">
        <v>66</v>
      </c>
      <c r="V982" s="1">
        <v>14</v>
      </c>
      <c r="W982" s="1">
        <v>1320</v>
      </c>
      <c r="X982" s="1">
        <v>0.85098889444533998</v>
      </c>
    </row>
    <row r="983" spans="1:24" x14ac:dyDescent="0.3">
      <c r="A983" s="2">
        <v>45313</v>
      </c>
      <c r="B983" s="1" t="s">
        <v>17</v>
      </c>
      <c r="C983" s="1" t="s">
        <v>18</v>
      </c>
      <c r="D983" s="1" t="s">
        <v>19</v>
      </c>
      <c r="E983" s="1" t="s">
        <v>28</v>
      </c>
      <c r="F983" s="1">
        <v>54</v>
      </c>
      <c r="G983" s="1" t="str" cm="1">
        <f t="array" ref="G983">_xlfn.IFS(F983&lt;=25,"YOUTH",F983&lt;=48,"ADULT",TRUE,"SENIOR")</f>
        <v>SENIOR</v>
      </c>
      <c r="H983" s="1" t="s">
        <v>29</v>
      </c>
      <c r="I983" s="1" t="s">
        <v>37</v>
      </c>
      <c r="J983" s="1" t="s">
        <v>23</v>
      </c>
      <c r="K983" s="1" t="s">
        <v>31</v>
      </c>
      <c r="L983" s="1">
        <v>12324</v>
      </c>
      <c r="M983" s="3">
        <f t="shared" si="45"/>
        <v>0.1354268094774424</v>
      </c>
      <c r="N983" s="1">
        <v>1669</v>
      </c>
      <c r="O983" s="4">
        <f t="shared" si="46"/>
        <v>4.4625668449197864</v>
      </c>
      <c r="P983" s="1">
        <v>374</v>
      </c>
      <c r="Q983" s="1">
        <v>1208.0434966248599</v>
      </c>
      <c r="R983" s="1">
        <v>8367.9434452798196</v>
      </c>
      <c r="S983" s="5">
        <f t="shared" si="47"/>
        <v>8366.9434452798196</v>
      </c>
      <c r="T983" s="1">
        <v>305</v>
      </c>
      <c r="U983" s="1">
        <v>15</v>
      </c>
      <c r="V983" s="1">
        <v>18</v>
      </c>
      <c r="W983" s="1">
        <v>2450</v>
      </c>
      <c r="X983" s="1">
        <v>0.61122606051663797</v>
      </c>
    </row>
    <row r="984" spans="1:24" x14ac:dyDescent="0.3">
      <c r="A984" s="2">
        <v>45294</v>
      </c>
      <c r="B984" s="1" t="s">
        <v>17</v>
      </c>
      <c r="C984" s="1" t="s">
        <v>41</v>
      </c>
      <c r="D984" s="1" t="s">
        <v>19</v>
      </c>
      <c r="E984" s="1" t="s">
        <v>28</v>
      </c>
      <c r="F984" s="1">
        <v>44</v>
      </c>
      <c r="G984" s="1" t="str" cm="1">
        <f t="array" ref="G984">_xlfn.IFS(F984&lt;=25,"YOUTH",F984&lt;=48,"ADULT",TRUE,"SENIOR")</f>
        <v>ADULT</v>
      </c>
      <c r="H984" s="1" t="s">
        <v>29</v>
      </c>
      <c r="I984" s="1" t="s">
        <v>22</v>
      </c>
      <c r="J984" s="1" t="s">
        <v>23</v>
      </c>
      <c r="K984" s="1" t="s">
        <v>31</v>
      </c>
      <c r="L984" s="1">
        <v>29149</v>
      </c>
      <c r="M984" s="3">
        <f t="shared" si="45"/>
        <v>9.9042848811279977E-2</v>
      </c>
      <c r="N984" s="1">
        <v>2887</v>
      </c>
      <c r="O984" s="4">
        <f t="shared" si="46"/>
        <v>11.783673469387756</v>
      </c>
      <c r="P984" s="1">
        <v>245</v>
      </c>
      <c r="Q984" s="1">
        <v>1659.39019319101</v>
      </c>
      <c r="R984" s="1">
        <v>5644.9305493210304</v>
      </c>
      <c r="S984" s="5">
        <f t="shared" si="47"/>
        <v>5643.9305493210304</v>
      </c>
      <c r="T984" s="1">
        <v>486</v>
      </c>
      <c r="U984" s="1">
        <v>42</v>
      </c>
      <c r="V984" s="1">
        <v>34</v>
      </c>
      <c r="W984" s="1">
        <v>3020</v>
      </c>
      <c r="X984" s="1">
        <v>0.73542900504099495</v>
      </c>
    </row>
    <row r="985" spans="1:24" x14ac:dyDescent="0.3">
      <c r="A985" s="2">
        <v>45347</v>
      </c>
      <c r="B985" s="1" t="s">
        <v>17</v>
      </c>
      <c r="C985" s="1" t="s">
        <v>26</v>
      </c>
      <c r="D985" s="1" t="s">
        <v>19</v>
      </c>
      <c r="E985" s="1" t="s">
        <v>20</v>
      </c>
      <c r="F985" s="1">
        <v>50</v>
      </c>
      <c r="G985" s="1" t="str" cm="1">
        <f t="array" ref="G985">_xlfn.IFS(F985&lt;=25,"YOUTH",F985&lt;=48,"ADULT",TRUE,"SENIOR")</f>
        <v>SENIOR</v>
      </c>
      <c r="H985" s="1" t="s">
        <v>29</v>
      </c>
      <c r="I985" s="1" t="s">
        <v>22</v>
      </c>
      <c r="J985" s="1" t="s">
        <v>38</v>
      </c>
      <c r="K985" s="1" t="s">
        <v>24</v>
      </c>
      <c r="L985" s="1">
        <v>4218</v>
      </c>
      <c r="M985" s="3">
        <f t="shared" si="45"/>
        <v>0.11213845424371741</v>
      </c>
      <c r="N985" s="1">
        <v>473</v>
      </c>
      <c r="O985" s="4">
        <f t="shared" si="46"/>
        <v>8.2982456140350873</v>
      </c>
      <c r="P985" s="1">
        <v>57</v>
      </c>
      <c r="Q985" s="1">
        <v>567.19987803814297</v>
      </c>
      <c r="R985" s="1">
        <v>2220.4301466060501</v>
      </c>
      <c r="S985" s="5">
        <f t="shared" si="47"/>
        <v>2219.4301466060501</v>
      </c>
      <c r="T985" s="1">
        <v>80</v>
      </c>
      <c r="U985" s="1">
        <v>9</v>
      </c>
      <c r="V985" s="1">
        <v>2</v>
      </c>
      <c r="W985" s="1">
        <v>501</v>
      </c>
      <c r="X985" s="1">
        <v>0.67618803070254796</v>
      </c>
    </row>
    <row r="986" spans="1:24" x14ac:dyDescent="0.3">
      <c r="A986" s="2">
        <v>45346</v>
      </c>
      <c r="B986" s="1" t="s">
        <v>34</v>
      </c>
      <c r="C986" s="1" t="s">
        <v>18</v>
      </c>
      <c r="D986" s="1" t="s">
        <v>36</v>
      </c>
      <c r="E986" s="1" t="s">
        <v>28</v>
      </c>
      <c r="F986" s="1">
        <v>21</v>
      </c>
      <c r="G986" s="1" t="str" cm="1">
        <f t="array" ref="G986">_xlfn.IFS(F986&lt;=25,"YOUTH",F986&lt;=48,"ADULT",TRUE,"SENIOR")</f>
        <v>YOUTH</v>
      </c>
      <c r="H986" s="1" t="s">
        <v>21</v>
      </c>
      <c r="I986" s="1" t="s">
        <v>43</v>
      </c>
      <c r="J986" s="1" t="s">
        <v>23</v>
      </c>
      <c r="K986" s="1" t="s">
        <v>24</v>
      </c>
      <c r="L986" s="1">
        <v>21141</v>
      </c>
      <c r="M986" s="3">
        <f t="shared" si="45"/>
        <v>0.1384986519086136</v>
      </c>
      <c r="N986" s="1">
        <v>2928</v>
      </c>
      <c r="O986" s="4">
        <f t="shared" si="46"/>
        <v>9.8585858585858581</v>
      </c>
      <c r="P986" s="1">
        <v>297</v>
      </c>
      <c r="Q986" s="1">
        <v>1322.2118387267899</v>
      </c>
      <c r="R986" s="1">
        <v>9800.8441621732909</v>
      </c>
      <c r="S986" s="5">
        <f t="shared" si="47"/>
        <v>9799.8441621732909</v>
      </c>
      <c r="T986" s="1">
        <v>523</v>
      </c>
      <c r="U986" s="1">
        <v>74</v>
      </c>
      <c r="V986" s="1">
        <v>46</v>
      </c>
      <c r="W986" s="1">
        <v>879</v>
      </c>
      <c r="X986" s="1">
        <v>0.79519331113351899</v>
      </c>
    </row>
    <row r="987" spans="1:24" x14ac:dyDescent="0.3">
      <c r="A987" s="2">
        <v>45310</v>
      </c>
      <c r="B987" s="1" t="s">
        <v>40</v>
      </c>
      <c r="C987" s="1" t="s">
        <v>35</v>
      </c>
      <c r="D987" s="1" t="s">
        <v>27</v>
      </c>
      <c r="E987" s="1" t="s">
        <v>20</v>
      </c>
      <c r="F987" s="1">
        <v>39</v>
      </c>
      <c r="G987" s="1" t="str" cm="1">
        <f t="array" ref="G987">_xlfn.IFS(F987&lt;=25,"YOUTH",F987&lt;=48,"ADULT",TRUE,"SENIOR")</f>
        <v>ADULT</v>
      </c>
      <c r="H987" s="1" t="s">
        <v>21</v>
      </c>
      <c r="I987" s="1" t="s">
        <v>37</v>
      </c>
      <c r="J987" s="1" t="s">
        <v>38</v>
      </c>
      <c r="K987" s="1" t="s">
        <v>31</v>
      </c>
      <c r="L987" s="1">
        <v>37784</v>
      </c>
      <c r="M987" s="3">
        <f t="shared" si="45"/>
        <v>0.13765085750582257</v>
      </c>
      <c r="N987" s="1">
        <v>5201</v>
      </c>
      <c r="O987" s="4">
        <f t="shared" si="46"/>
        <v>27.373684210526317</v>
      </c>
      <c r="P987" s="1">
        <v>190</v>
      </c>
      <c r="Q987" s="1">
        <v>2178.8479147898602</v>
      </c>
      <c r="R987" s="1">
        <v>8954.2306769159804</v>
      </c>
      <c r="S987" s="5">
        <f t="shared" si="47"/>
        <v>8953.2306769159804</v>
      </c>
      <c r="T987" s="1">
        <v>717</v>
      </c>
      <c r="U987" s="1">
        <v>42</v>
      </c>
      <c r="V987" s="1">
        <v>44</v>
      </c>
      <c r="W987" s="1">
        <v>6798</v>
      </c>
      <c r="X987" s="1">
        <v>0.48589072744316197</v>
      </c>
    </row>
    <row r="988" spans="1:24" x14ac:dyDescent="0.3">
      <c r="A988" s="2">
        <v>45348</v>
      </c>
      <c r="B988" s="1" t="s">
        <v>25</v>
      </c>
      <c r="C988" s="1" t="s">
        <v>18</v>
      </c>
      <c r="D988" s="1" t="s">
        <v>27</v>
      </c>
      <c r="E988" s="1" t="s">
        <v>28</v>
      </c>
      <c r="F988" s="1">
        <v>19</v>
      </c>
      <c r="G988" s="1" t="str" cm="1">
        <f t="array" ref="G988">_xlfn.IFS(F988&lt;=25,"YOUTH",F988&lt;=48,"ADULT",TRUE,"SENIOR")</f>
        <v>YOUTH</v>
      </c>
      <c r="H988" s="1" t="s">
        <v>29</v>
      </c>
      <c r="I988" s="1" t="s">
        <v>43</v>
      </c>
      <c r="J988" s="1" t="s">
        <v>30</v>
      </c>
      <c r="K988" s="1" t="s">
        <v>24</v>
      </c>
      <c r="L988" s="1">
        <v>3837</v>
      </c>
      <c r="M988" s="3">
        <f t="shared" si="45"/>
        <v>0.11336982017200939</v>
      </c>
      <c r="N988" s="1">
        <v>435</v>
      </c>
      <c r="O988" s="4">
        <f t="shared" si="46"/>
        <v>5.7236842105263159</v>
      </c>
      <c r="P988" s="1">
        <v>76</v>
      </c>
      <c r="Q988" s="1">
        <v>211.17459296989799</v>
      </c>
      <c r="R988" s="1">
        <v>2179.5963280874798</v>
      </c>
      <c r="S988" s="5">
        <f t="shared" si="47"/>
        <v>2178.5963280874798</v>
      </c>
      <c r="T988" s="1">
        <v>53</v>
      </c>
      <c r="U988" s="1">
        <v>8</v>
      </c>
      <c r="V988" s="1">
        <v>2</v>
      </c>
      <c r="W988" s="1">
        <v>206</v>
      </c>
      <c r="X988" s="1">
        <v>0.90624257006598996</v>
      </c>
    </row>
    <row r="989" spans="1:24" x14ac:dyDescent="0.3">
      <c r="A989" s="2">
        <v>45335</v>
      </c>
      <c r="B989" s="1" t="s">
        <v>25</v>
      </c>
      <c r="C989" s="1" t="s">
        <v>18</v>
      </c>
      <c r="D989" s="1" t="s">
        <v>36</v>
      </c>
      <c r="E989" s="1" t="s">
        <v>20</v>
      </c>
      <c r="F989" s="1">
        <v>27</v>
      </c>
      <c r="G989" s="1" t="str" cm="1">
        <f t="array" ref="G989">_xlfn.IFS(F989&lt;=25,"YOUTH",F989&lt;=48,"ADULT",TRUE,"SENIOR")</f>
        <v>ADULT</v>
      </c>
      <c r="H989" s="1" t="s">
        <v>29</v>
      </c>
      <c r="I989" s="1" t="s">
        <v>43</v>
      </c>
      <c r="J989" s="1" t="s">
        <v>38</v>
      </c>
      <c r="K989" s="1" t="s">
        <v>31</v>
      </c>
      <c r="L989" s="1">
        <v>40802</v>
      </c>
      <c r="M989" s="3">
        <f t="shared" si="45"/>
        <v>3.7694230674966911E-2</v>
      </c>
      <c r="N989" s="1">
        <v>1538</v>
      </c>
      <c r="O989" s="4">
        <f t="shared" si="46"/>
        <v>4.7763975155279503</v>
      </c>
      <c r="P989" s="1">
        <v>322</v>
      </c>
      <c r="Q989" s="1">
        <v>1584.37705756585</v>
      </c>
      <c r="R989" s="1">
        <v>6435.4250850427698</v>
      </c>
      <c r="S989" s="5">
        <f t="shared" si="47"/>
        <v>6434.4250850427698</v>
      </c>
      <c r="T989" s="1">
        <v>291</v>
      </c>
      <c r="U989" s="1">
        <v>38</v>
      </c>
      <c r="V989" s="1">
        <v>19</v>
      </c>
      <c r="W989" s="1">
        <v>1878</v>
      </c>
      <c r="X989" s="1">
        <v>0.75399803865251902</v>
      </c>
    </row>
    <row r="990" spans="1:24" x14ac:dyDescent="0.3">
      <c r="A990" s="2">
        <v>45325</v>
      </c>
      <c r="B990" s="1" t="s">
        <v>40</v>
      </c>
      <c r="C990" s="1" t="s">
        <v>41</v>
      </c>
      <c r="D990" s="1" t="s">
        <v>36</v>
      </c>
      <c r="E990" s="1" t="s">
        <v>20</v>
      </c>
      <c r="F990" s="1">
        <v>22</v>
      </c>
      <c r="G990" s="1" t="str" cm="1">
        <f t="array" ref="G990">_xlfn.IFS(F990&lt;=25,"YOUTH",F990&lt;=48,"ADULT",TRUE,"SENIOR")</f>
        <v>YOUTH</v>
      </c>
      <c r="H990" s="1" t="s">
        <v>29</v>
      </c>
      <c r="I990" s="1" t="s">
        <v>37</v>
      </c>
      <c r="J990" s="1" t="s">
        <v>23</v>
      </c>
      <c r="K990" s="1" t="s">
        <v>39</v>
      </c>
      <c r="L990" s="1">
        <v>41077</v>
      </c>
      <c r="M990" s="3">
        <f t="shared" si="45"/>
        <v>0.12805219465881151</v>
      </c>
      <c r="N990" s="1">
        <v>5260</v>
      </c>
      <c r="O990" s="4">
        <f t="shared" si="46"/>
        <v>11.09704641350211</v>
      </c>
      <c r="P990" s="1">
        <v>474</v>
      </c>
      <c r="Q990" s="1">
        <v>3926.91854794451</v>
      </c>
      <c r="R990" s="1">
        <v>16844.801822422101</v>
      </c>
      <c r="S990" s="5">
        <f t="shared" si="47"/>
        <v>16843.801822422101</v>
      </c>
      <c r="T990" s="1">
        <v>954</v>
      </c>
      <c r="U990" s="1">
        <v>122</v>
      </c>
      <c r="V990" s="1">
        <v>67</v>
      </c>
      <c r="W990" s="1">
        <v>2191</v>
      </c>
      <c r="X990" s="1">
        <v>0.549024552</v>
      </c>
    </row>
    <row r="991" spans="1:24" x14ac:dyDescent="0.3">
      <c r="A991" s="2">
        <v>45326</v>
      </c>
      <c r="B991" s="1" t="s">
        <v>34</v>
      </c>
      <c r="C991" s="1" t="s">
        <v>26</v>
      </c>
      <c r="D991" s="1" t="s">
        <v>36</v>
      </c>
      <c r="E991" s="1" t="s">
        <v>20</v>
      </c>
      <c r="F991" s="1">
        <v>27</v>
      </c>
      <c r="G991" s="1" t="str" cm="1">
        <f t="array" ref="G991">_xlfn.IFS(F991&lt;=25,"YOUTH",F991&lt;=48,"ADULT",TRUE,"SENIOR")</f>
        <v>ADULT</v>
      </c>
      <c r="H991" s="1" t="s">
        <v>21</v>
      </c>
      <c r="I991" s="1" t="s">
        <v>37</v>
      </c>
      <c r="J991" s="1" t="s">
        <v>38</v>
      </c>
      <c r="K991" s="1" t="s">
        <v>39</v>
      </c>
      <c r="L991" s="1">
        <v>15379</v>
      </c>
      <c r="M991" s="3">
        <f t="shared" si="45"/>
        <v>3.8494050328369854E-2</v>
      </c>
      <c r="N991" s="1">
        <v>592</v>
      </c>
      <c r="O991" s="4">
        <f t="shared" si="46"/>
        <v>4.0547945205479454</v>
      </c>
      <c r="P991" s="1">
        <v>146</v>
      </c>
      <c r="Q991" s="1">
        <v>643.88440869999999</v>
      </c>
      <c r="R991" s="1">
        <v>6053.4771802279101</v>
      </c>
      <c r="S991" s="5">
        <f t="shared" si="47"/>
        <v>6052.4771802279101</v>
      </c>
      <c r="T991" s="1">
        <v>411</v>
      </c>
      <c r="U991" s="1">
        <v>38</v>
      </c>
      <c r="V991" s="1">
        <v>9</v>
      </c>
      <c r="W991" s="1">
        <v>2840</v>
      </c>
      <c r="X991" s="1">
        <v>0.46778953947593199</v>
      </c>
    </row>
    <row r="992" spans="1:24" x14ac:dyDescent="0.3">
      <c r="A992" s="2">
        <v>45341</v>
      </c>
      <c r="B992" s="1" t="s">
        <v>25</v>
      </c>
      <c r="C992" s="1" t="s">
        <v>35</v>
      </c>
      <c r="D992" s="1" t="s">
        <v>32</v>
      </c>
      <c r="E992" s="1" t="s">
        <v>28</v>
      </c>
      <c r="F992" s="1">
        <v>50</v>
      </c>
      <c r="G992" s="1" t="str" cm="1">
        <f t="array" ref="G992">_xlfn.IFS(F992&lt;=25,"YOUTH",F992&lt;=48,"ADULT",TRUE,"SENIOR")</f>
        <v>SENIOR</v>
      </c>
      <c r="H992" s="1" t="s">
        <v>29</v>
      </c>
      <c r="I992" s="1" t="s">
        <v>37</v>
      </c>
      <c r="J992" s="1" t="s">
        <v>23</v>
      </c>
      <c r="K992" s="1" t="s">
        <v>31</v>
      </c>
      <c r="L992" s="1">
        <v>5239</v>
      </c>
      <c r="M992" s="3">
        <f t="shared" si="45"/>
        <v>0.11395304447413629</v>
      </c>
      <c r="N992" s="1">
        <v>597</v>
      </c>
      <c r="O992" s="4">
        <f t="shared" si="46"/>
        <v>27.136363636363637</v>
      </c>
      <c r="P992" s="1">
        <v>22</v>
      </c>
      <c r="Q992" s="1">
        <v>393.98354399837302</v>
      </c>
      <c r="R992" s="1">
        <v>313.91807697645697</v>
      </c>
      <c r="S992" s="5">
        <f t="shared" si="47"/>
        <v>312.91807697645697</v>
      </c>
      <c r="T992" s="1">
        <v>153</v>
      </c>
      <c r="U992" s="1">
        <v>21</v>
      </c>
      <c r="V992" s="1">
        <v>15</v>
      </c>
      <c r="W992" s="1">
        <v>752</v>
      </c>
      <c r="X992" s="1">
        <v>0.48234906028040397</v>
      </c>
    </row>
    <row r="993" spans="1:24" x14ac:dyDescent="0.3">
      <c r="A993" s="2">
        <v>45292</v>
      </c>
      <c r="B993" s="1" t="s">
        <v>40</v>
      </c>
      <c r="C993" s="1" t="s">
        <v>18</v>
      </c>
      <c r="D993" s="1" t="s">
        <v>19</v>
      </c>
      <c r="E993" s="1" t="s">
        <v>28</v>
      </c>
      <c r="F993" s="1">
        <v>55</v>
      </c>
      <c r="G993" s="1" t="str" cm="1">
        <f t="array" ref="G993">_xlfn.IFS(F993&lt;=25,"YOUTH",F993&lt;=48,"ADULT",TRUE,"SENIOR")</f>
        <v>SENIOR</v>
      </c>
      <c r="H993" s="1" t="s">
        <v>21</v>
      </c>
      <c r="I993" s="1" t="s">
        <v>33</v>
      </c>
      <c r="J993" s="1" t="s">
        <v>23</v>
      </c>
      <c r="K993" s="1" t="s">
        <v>31</v>
      </c>
      <c r="L993" s="1">
        <v>45896</v>
      </c>
      <c r="M993" s="3">
        <f t="shared" si="45"/>
        <v>0.10597873453024229</v>
      </c>
      <c r="N993" s="1">
        <v>4864</v>
      </c>
      <c r="O993" s="4">
        <f t="shared" si="46"/>
        <v>5.8112305854241342</v>
      </c>
      <c r="P993" s="1">
        <v>837</v>
      </c>
      <c r="Q993" s="1">
        <v>3668.3005303422801</v>
      </c>
      <c r="R993" s="1">
        <v>34473.276833012802</v>
      </c>
      <c r="S993" s="5">
        <f t="shared" si="47"/>
        <v>34472.276833012802</v>
      </c>
      <c r="T993" s="1">
        <v>1292</v>
      </c>
      <c r="U993" s="1">
        <v>69</v>
      </c>
      <c r="V993" s="1">
        <v>63</v>
      </c>
      <c r="W993" s="1">
        <v>7161</v>
      </c>
      <c r="X993" s="1">
        <v>0.83046460979285897</v>
      </c>
    </row>
    <row r="994" spans="1:24" x14ac:dyDescent="0.3">
      <c r="A994" s="2">
        <v>45343</v>
      </c>
      <c r="B994" s="1" t="s">
        <v>25</v>
      </c>
      <c r="C994" s="1" t="s">
        <v>26</v>
      </c>
      <c r="D994" s="1" t="s">
        <v>19</v>
      </c>
      <c r="E994" s="1" t="s">
        <v>28</v>
      </c>
      <c r="F994" s="1">
        <v>30</v>
      </c>
      <c r="G994" s="1" t="str" cm="1">
        <f t="array" ref="G994">_xlfn.IFS(F994&lt;=25,"YOUTH",F994&lt;=48,"ADULT",TRUE,"SENIOR")</f>
        <v>ADULT</v>
      </c>
      <c r="H994" s="1" t="s">
        <v>21</v>
      </c>
      <c r="I994" s="1" t="s">
        <v>37</v>
      </c>
      <c r="J994" s="1" t="s">
        <v>38</v>
      </c>
      <c r="K994" s="1" t="s">
        <v>31</v>
      </c>
      <c r="L994" s="1">
        <v>21812</v>
      </c>
      <c r="M994" s="3">
        <f t="shared" si="45"/>
        <v>0.11622042912158445</v>
      </c>
      <c r="N994" s="1">
        <v>2535</v>
      </c>
      <c r="O994" s="4">
        <f t="shared" si="46"/>
        <v>8.125</v>
      </c>
      <c r="P994" s="1">
        <v>312</v>
      </c>
      <c r="Q994" s="1">
        <v>494.34642844530902</v>
      </c>
      <c r="R994" s="1">
        <v>8034.5259824273398</v>
      </c>
      <c r="S994" s="5">
        <f t="shared" si="47"/>
        <v>8033.5259824273398</v>
      </c>
      <c r="T994" s="1">
        <v>543</v>
      </c>
      <c r="U994" s="1">
        <v>32</v>
      </c>
      <c r="V994" s="1">
        <v>13</v>
      </c>
      <c r="W994" s="1">
        <v>1780</v>
      </c>
      <c r="X994" s="1">
        <v>0.72346052932212601</v>
      </c>
    </row>
    <row r="995" spans="1:24" x14ac:dyDescent="0.3">
      <c r="A995" s="2">
        <v>45312</v>
      </c>
      <c r="B995" s="1" t="s">
        <v>17</v>
      </c>
      <c r="C995" s="1" t="s">
        <v>26</v>
      </c>
      <c r="D995" s="1" t="s">
        <v>27</v>
      </c>
      <c r="E995" s="1" t="s">
        <v>20</v>
      </c>
      <c r="F995" s="1">
        <v>48</v>
      </c>
      <c r="G995" s="1" t="str" cm="1">
        <f t="array" ref="G995">_xlfn.IFS(F995&lt;=25,"YOUTH",F995&lt;=48,"ADULT",TRUE,"SENIOR")</f>
        <v>ADULT</v>
      </c>
      <c r="H995" s="1" t="s">
        <v>21</v>
      </c>
      <c r="I995" s="1" t="s">
        <v>22</v>
      </c>
      <c r="J995" s="1" t="s">
        <v>23</v>
      </c>
      <c r="K995" s="1" t="s">
        <v>31</v>
      </c>
      <c r="L995" s="1">
        <v>30669</v>
      </c>
      <c r="M995" s="3">
        <f t="shared" si="45"/>
        <v>8.4547914832567087E-2</v>
      </c>
      <c r="N995" s="1">
        <v>2593</v>
      </c>
      <c r="O995" s="4">
        <f t="shared" si="46"/>
        <v>8.1540880503144653</v>
      </c>
      <c r="P995" s="1">
        <v>318</v>
      </c>
      <c r="Q995" s="1">
        <v>680.39012042850004</v>
      </c>
      <c r="R995" s="1">
        <v>9701.9804602320492</v>
      </c>
      <c r="S995" s="5">
        <f t="shared" si="47"/>
        <v>9700.9804602320492</v>
      </c>
      <c r="T995" s="1">
        <v>646</v>
      </c>
      <c r="U995" s="1">
        <v>103</v>
      </c>
      <c r="V995" s="1">
        <v>56</v>
      </c>
      <c r="W995" s="1">
        <v>5604</v>
      </c>
      <c r="X995" s="1">
        <v>0.60941705989499995</v>
      </c>
    </row>
    <row r="996" spans="1:24" x14ac:dyDescent="0.3">
      <c r="A996" s="2">
        <v>45320</v>
      </c>
      <c r="B996" s="1" t="s">
        <v>25</v>
      </c>
      <c r="C996" s="1" t="s">
        <v>18</v>
      </c>
      <c r="D996" s="1" t="s">
        <v>19</v>
      </c>
      <c r="E996" s="1" t="s">
        <v>28</v>
      </c>
      <c r="F996" s="1">
        <v>53</v>
      </c>
      <c r="G996" s="1" t="str" cm="1">
        <f t="array" ref="G996">_xlfn.IFS(F996&lt;=25,"YOUTH",F996&lt;=48,"ADULT",TRUE,"SENIOR")</f>
        <v>SENIOR</v>
      </c>
      <c r="H996" s="1" t="s">
        <v>21</v>
      </c>
      <c r="I996" s="1" t="s">
        <v>43</v>
      </c>
      <c r="J996" s="1" t="s">
        <v>38</v>
      </c>
      <c r="K996" s="1" t="s">
        <v>39</v>
      </c>
      <c r="L996" s="1">
        <v>49624</v>
      </c>
      <c r="M996" s="3">
        <f t="shared" si="45"/>
        <v>9.9407544736417858E-2</v>
      </c>
      <c r="N996" s="1">
        <v>4933</v>
      </c>
      <c r="O996" s="4">
        <f t="shared" si="46"/>
        <v>7.9951377633711509</v>
      </c>
      <c r="P996" s="1">
        <v>617</v>
      </c>
      <c r="Q996" s="1">
        <v>4348.4344806929503</v>
      </c>
      <c r="R996" s="1">
        <v>14287.053566082801</v>
      </c>
      <c r="S996" s="5">
        <f t="shared" si="47"/>
        <v>14286.053566082801</v>
      </c>
      <c r="T996" s="1">
        <v>1217</v>
      </c>
      <c r="U996" s="1">
        <v>119</v>
      </c>
      <c r="V996" s="1">
        <v>121</v>
      </c>
      <c r="W996" s="1">
        <v>7939</v>
      </c>
      <c r="X996" s="1">
        <v>0.58309546499999998</v>
      </c>
    </row>
    <row r="997" spans="1:24" x14ac:dyDescent="0.3">
      <c r="A997" s="2">
        <v>45297</v>
      </c>
      <c r="B997" s="1" t="s">
        <v>34</v>
      </c>
      <c r="C997" s="1" t="s">
        <v>26</v>
      </c>
      <c r="D997" s="1" t="s">
        <v>32</v>
      </c>
      <c r="E997" s="1" t="s">
        <v>28</v>
      </c>
      <c r="F997" s="1">
        <v>41</v>
      </c>
      <c r="G997" s="1" t="str" cm="1">
        <f t="array" ref="G997">_xlfn.IFS(F997&lt;=25,"YOUTH",F997&lt;=48,"ADULT",TRUE,"SENIOR")</f>
        <v>ADULT</v>
      </c>
      <c r="H997" s="1" t="s">
        <v>29</v>
      </c>
      <c r="I997" s="1" t="s">
        <v>33</v>
      </c>
      <c r="J997" s="1" t="s">
        <v>38</v>
      </c>
      <c r="K997" s="1" t="s">
        <v>31</v>
      </c>
      <c r="L997" s="1">
        <v>10611</v>
      </c>
      <c r="M997" s="3">
        <f t="shared" si="45"/>
        <v>0.14343605692206202</v>
      </c>
      <c r="N997" s="1">
        <v>1522</v>
      </c>
      <c r="O997" s="4">
        <f t="shared" si="46"/>
        <v>12.683333333333334</v>
      </c>
      <c r="P997" s="1">
        <v>120</v>
      </c>
      <c r="Q997" s="1">
        <v>1172.3511906788301</v>
      </c>
      <c r="R997" s="1">
        <v>7865.0005567858598</v>
      </c>
      <c r="S997" s="5">
        <f t="shared" si="47"/>
        <v>7864.0005567858598</v>
      </c>
      <c r="T997" s="1">
        <v>167</v>
      </c>
      <c r="U997" s="1">
        <v>17</v>
      </c>
      <c r="V997" s="1">
        <v>14</v>
      </c>
      <c r="W997" s="1">
        <v>1619</v>
      </c>
      <c r="X997" s="1">
        <v>0.87066690242029099</v>
      </c>
    </row>
    <row r="998" spans="1:24" x14ac:dyDescent="0.3">
      <c r="A998" s="2">
        <v>45328</v>
      </c>
      <c r="B998" s="1" t="s">
        <v>40</v>
      </c>
      <c r="C998" s="1" t="s">
        <v>18</v>
      </c>
      <c r="D998" s="1" t="s">
        <v>36</v>
      </c>
      <c r="E998" s="1" t="s">
        <v>28</v>
      </c>
      <c r="F998" s="1">
        <v>32</v>
      </c>
      <c r="G998" s="1" t="str" cm="1">
        <f t="array" ref="G998">_xlfn.IFS(F998&lt;=25,"YOUTH",F998&lt;=48,"ADULT",TRUE,"SENIOR")</f>
        <v>ADULT</v>
      </c>
      <c r="H998" s="1" t="s">
        <v>42</v>
      </c>
      <c r="I998" s="1" t="s">
        <v>37</v>
      </c>
      <c r="J998" s="1" t="s">
        <v>38</v>
      </c>
      <c r="K998" s="1" t="s">
        <v>31</v>
      </c>
      <c r="L998" s="1">
        <v>5150</v>
      </c>
      <c r="M998" s="3">
        <f t="shared" si="45"/>
        <v>2.4077669902912623E-2</v>
      </c>
      <c r="N998" s="1">
        <v>124</v>
      </c>
      <c r="O998" s="4">
        <f t="shared" si="46"/>
        <v>5.6363636363636367</v>
      </c>
      <c r="P998" s="1">
        <v>22</v>
      </c>
      <c r="Q998" s="1">
        <v>733.76439189999996</v>
      </c>
      <c r="R998" s="1">
        <v>1087.1708822307</v>
      </c>
      <c r="S998" s="5">
        <f t="shared" si="47"/>
        <v>1086.1708822307</v>
      </c>
      <c r="T998" s="1">
        <v>102</v>
      </c>
      <c r="U998" s="1">
        <v>8</v>
      </c>
      <c r="V998" s="1">
        <v>8</v>
      </c>
      <c r="W998" s="1">
        <v>1001</v>
      </c>
      <c r="X998" s="1">
        <v>0.88111938807980295</v>
      </c>
    </row>
    <row r="999" spans="1:24" x14ac:dyDescent="0.3">
      <c r="A999" s="2">
        <v>45292</v>
      </c>
      <c r="B999" s="1" t="s">
        <v>34</v>
      </c>
      <c r="C999" s="1" t="s">
        <v>18</v>
      </c>
      <c r="D999" s="1" t="s">
        <v>27</v>
      </c>
      <c r="E999" s="1" t="s">
        <v>28</v>
      </c>
      <c r="F999" s="1">
        <v>46</v>
      </c>
      <c r="G999" s="1" t="str" cm="1">
        <f t="array" ref="G999">_xlfn.IFS(F999&lt;=25,"YOUTH",F999&lt;=48,"ADULT",TRUE,"SENIOR")</f>
        <v>ADULT</v>
      </c>
      <c r="H999" s="1" t="s">
        <v>29</v>
      </c>
      <c r="I999" s="1" t="s">
        <v>33</v>
      </c>
      <c r="J999" s="1" t="s">
        <v>23</v>
      </c>
      <c r="K999" s="1" t="s">
        <v>31</v>
      </c>
      <c r="L999" s="1">
        <v>12109</v>
      </c>
      <c r="M999" s="3">
        <f t="shared" si="45"/>
        <v>5.318358245932777E-2</v>
      </c>
      <c r="N999" s="1">
        <v>644</v>
      </c>
      <c r="O999" s="4">
        <f t="shared" si="46"/>
        <v>5.4117647058823533</v>
      </c>
      <c r="P999" s="1">
        <v>119</v>
      </c>
      <c r="Q999" s="1">
        <v>524.1442035</v>
      </c>
      <c r="R999" s="1">
        <v>2625.1305086842799</v>
      </c>
      <c r="S999" s="5">
        <f t="shared" si="47"/>
        <v>2624.1305086842799</v>
      </c>
      <c r="T999" s="1">
        <v>166</v>
      </c>
      <c r="U999" s="1">
        <v>19</v>
      </c>
      <c r="V999" s="1">
        <v>11</v>
      </c>
      <c r="W999" s="1">
        <v>963</v>
      </c>
      <c r="X999" s="1">
        <v>0.71969412113061104</v>
      </c>
    </row>
    <row r="1000" spans="1:24" x14ac:dyDescent="0.3">
      <c r="A1000" s="2">
        <v>45342</v>
      </c>
      <c r="B1000" s="1" t="s">
        <v>40</v>
      </c>
      <c r="C1000" s="1" t="s">
        <v>18</v>
      </c>
      <c r="D1000" s="1" t="s">
        <v>27</v>
      </c>
      <c r="E1000" s="1" t="s">
        <v>20</v>
      </c>
      <c r="F1000" s="1">
        <v>25</v>
      </c>
      <c r="G1000" s="1" t="str" cm="1">
        <f t="array" ref="G1000">_xlfn.IFS(F1000&lt;=25,"YOUTH",F1000&lt;=48,"ADULT",TRUE,"SENIOR")</f>
        <v>YOUTH</v>
      </c>
      <c r="H1000" s="1" t="s">
        <v>29</v>
      </c>
      <c r="I1000" s="1" t="s">
        <v>37</v>
      </c>
      <c r="J1000" s="1" t="s">
        <v>38</v>
      </c>
      <c r="K1000" s="1" t="s">
        <v>31</v>
      </c>
      <c r="L1000" s="1">
        <v>35214</v>
      </c>
      <c r="M1000" s="3">
        <f t="shared" si="45"/>
        <v>9.5586982450161867E-2</v>
      </c>
      <c r="N1000" s="1">
        <v>3366</v>
      </c>
      <c r="O1000" s="4">
        <f t="shared" si="46"/>
        <v>11.810526315789474</v>
      </c>
      <c r="P1000" s="1">
        <v>285</v>
      </c>
      <c r="Q1000" s="1">
        <v>1176.9802430126799</v>
      </c>
      <c r="R1000" s="1">
        <v>13374.2054725748</v>
      </c>
      <c r="S1000" s="5">
        <f t="shared" si="47"/>
        <v>13373.2054725748</v>
      </c>
      <c r="T1000" s="1">
        <v>463</v>
      </c>
      <c r="U1000" s="1">
        <v>26</v>
      </c>
      <c r="V1000" s="1">
        <v>43</v>
      </c>
      <c r="W1000" s="1">
        <v>4439</v>
      </c>
      <c r="X1000" s="1">
        <v>0.68849923599999996</v>
      </c>
    </row>
    <row r="1001" spans="1:24" x14ac:dyDescent="0.3">
      <c r="A1001" s="2">
        <v>45292</v>
      </c>
      <c r="B1001" s="1" t="s">
        <v>17</v>
      </c>
      <c r="C1001" s="1" t="s">
        <v>35</v>
      </c>
      <c r="D1001" s="1" t="s">
        <v>19</v>
      </c>
      <c r="E1001" s="1" t="s">
        <v>20</v>
      </c>
      <c r="F1001" s="1">
        <v>22</v>
      </c>
      <c r="G1001" s="1" t="str" cm="1">
        <f t="array" ref="G1001">_xlfn.IFS(F1001&lt;=25,"YOUTH",F1001&lt;=48,"ADULT",TRUE,"SENIOR")</f>
        <v>YOUTH</v>
      </c>
      <c r="H1001" s="1" t="s">
        <v>21</v>
      </c>
      <c r="I1001" s="1" t="s">
        <v>33</v>
      </c>
      <c r="J1001" s="1" t="s">
        <v>23</v>
      </c>
      <c r="K1001" s="1" t="s">
        <v>39</v>
      </c>
      <c r="L1001" s="1">
        <v>27016</v>
      </c>
      <c r="M1001" s="3">
        <f t="shared" si="45"/>
        <v>0.14495114006514659</v>
      </c>
      <c r="N1001" s="1">
        <v>3916</v>
      </c>
      <c r="O1001" s="4">
        <f t="shared" si="46"/>
        <v>4.7180722891566269</v>
      </c>
      <c r="P1001" s="1">
        <v>830</v>
      </c>
      <c r="Q1001" s="1">
        <v>723.25689616070804</v>
      </c>
      <c r="R1001" s="1">
        <v>49930.481496951303</v>
      </c>
      <c r="S1001" s="5">
        <f t="shared" si="47"/>
        <v>49929.481496951303</v>
      </c>
      <c r="T1001" s="1">
        <v>646</v>
      </c>
      <c r="U1001" s="1">
        <v>61</v>
      </c>
      <c r="V1001" s="1">
        <v>14</v>
      </c>
      <c r="W1001" s="1">
        <v>4940</v>
      </c>
      <c r="X1001" s="1">
        <v>0.84904642314211398</v>
      </c>
    </row>
  </sheetData>
  <autoFilter ref="A1:X1001" xr:uid="{B713097F-971C-4A78-8D88-9930337B6C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1E4C-F4ED-4F9D-9CD1-52C38C9EC3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advanced_marketing_campaign_dat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vanshika jaiswal</cp:lastModifiedBy>
  <dcterms:created xsi:type="dcterms:W3CDTF">2025-11-20T10:50:53Z</dcterms:created>
  <dcterms:modified xsi:type="dcterms:W3CDTF">2025-11-20T10:53:11Z</dcterms:modified>
</cp:coreProperties>
</file>